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0" yWindow="180" windowWidth="9780" windowHeight="9990" firstSheet="1" activeTab="7"/>
  </bookViews>
  <sheets>
    <sheet name="MENU RAPEL 3 HARI" sheetId="1" r:id="rId1"/>
    <sheet name="9 MARET" sheetId="2" r:id="rId2"/>
    <sheet name="10 MARET " sheetId="3" r:id="rId3"/>
    <sheet name="B3 10 MARET" sheetId="4" r:id="rId4"/>
    <sheet name="11 MARET" sheetId="5" r:id="rId5"/>
    <sheet name="12 MARET " sheetId="6" r:id="rId6"/>
    <sheet name="B3 12 MARET" sheetId="7" r:id="rId7"/>
    <sheet name="13-14 MARET" sheetId="8" r:id="rId8"/>
    <sheet name="14 MARET" sheetId="9" r:id="rId9"/>
    <sheet name="Sheet1" sheetId="10" r:id="rId1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5" i="8" l="1"/>
  <c r="J75" i="8"/>
  <c r="H75" i="8"/>
  <c r="D75" i="8"/>
  <c r="F75" i="8" s="1"/>
  <c r="K56" i="8"/>
  <c r="J56" i="8"/>
  <c r="H56" i="8"/>
  <c r="C55" i="8"/>
  <c r="D58" i="8"/>
  <c r="F58" i="8" s="1"/>
  <c r="D57" i="8"/>
  <c r="F57" i="8" s="1"/>
  <c r="D56" i="8"/>
  <c r="F56" i="8" s="1"/>
  <c r="D55" i="8"/>
  <c r="F55" i="8" s="1"/>
  <c r="D54" i="8"/>
  <c r="F54" i="8" s="1"/>
  <c r="D53" i="8"/>
  <c r="F53" i="8" s="1"/>
  <c r="D52" i="8"/>
  <c r="F52" i="8" s="1"/>
  <c r="D51" i="8"/>
  <c r="F51" i="8" s="1"/>
  <c r="D50" i="8"/>
  <c r="F50" i="8" s="1"/>
  <c r="D49" i="8"/>
  <c r="F49" i="8" s="1"/>
  <c r="D48" i="8"/>
  <c r="F48" i="8" s="1"/>
  <c r="D47" i="8"/>
  <c r="F47" i="8" s="1"/>
  <c r="C74" i="8" l="1"/>
  <c r="D74" i="8"/>
  <c r="F74" i="8" s="1"/>
  <c r="D76" i="8"/>
  <c r="F76" i="8" s="1"/>
  <c r="D71" i="8"/>
  <c r="D72" i="8"/>
  <c r="D73" i="8"/>
  <c r="D69" i="8"/>
  <c r="F69" i="8" s="1"/>
  <c r="D70" i="8"/>
  <c r="F70" i="8" s="1"/>
  <c r="D66" i="8"/>
  <c r="F66" i="8" s="1"/>
  <c r="D78" i="8"/>
  <c r="F78" i="8" s="1"/>
  <c r="D77" i="8" l="1"/>
  <c r="F77" i="8" s="1"/>
  <c r="F73" i="8"/>
  <c r="F72" i="8"/>
  <c r="F71" i="8"/>
  <c r="D68" i="8"/>
  <c r="F68" i="8" s="1"/>
  <c r="D67" i="8"/>
  <c r="F67" i="8" s="1"/>
  <c r="L79" i="8" l="1"/>
  <c r="L81" i="8" s="1"/>
  <c r="K79" i="8"/>
  <c r="K81" i="8" s="1"/>
  <c r="J79" i="8"/>
  <c r="J81" i="8" s="1"/>
  <c r="I79" i="8"/>
  <c r="I81" i="8" s="1"/>
  <c r="H79" i="8"/>
  <c r="H81" i="8" s="1"/>
  <c r="L59" i="8"/>
  <c r="L61" i="8" s="1"/>
  <c r="K59" i="8"/>
  <c r="K61" i="8" s="1"/>
  <c r="J59" i="8"/>
  <c r="J61" i="8" s="1"/>
  <c r="I59" i="8"/>
  <c r="I61" i="8" s="1"/>
  <c r="H59" i="8"/>
  <c r="H61" i="8" s="1"/>
  <c r="C18" i="8" l="1"/>
  <c r="F60" i="7" l="1"/>
  <c r="D60" i="7"/>
  <c r="D47" i="7"/>
  <c r="F47" i="7" s="1"/>
  <c r="E24" i="7"/>
  <c r="F24" i="7" s="1"/>
  <c r="G24" i="7" s="1"/>
  <c r="F62" i="7"/>
  <c r="D62" i="7"/>
  <c r="F61" i="7"/>
  <c r="D61" i="7"/>
  <c r="D63" i="7" l="1"/>
  <c r="F63" i="7" s="1"/>
  <c r="C59" i="7"/>
  <c r="D59" i="7" s="1"/>
  <c r="F59" i="7" s="1"/>
  <c r="C58" i="7"/>
  <c r="D58" i="7" s="1"/>
  <c r="F58" i="7" s="1"/>
  <c r="D57" i="7"/>
  <c r="F57" i="7" s="1"/>
  <c r="C46" i="7"/>
  <c r="D46" i="7" s="1"/>
  <c r="F46" i="7" s="1"/>
  <c r="D49" i="7"/>
  <c r="F49" i="7" s="1"/>
  <c r="C45" i="7"/>
  <c r="D45" i="7"/>
  <c r="F45" i="7" s="1"/>
  <c r="D48" i="7"/>
  <c r="F48" i="7" s="1"/>
  <c r="D44" i="7"/>
  <c r="F44" i="7" s="1"/>
  <c r="D45" i="6"/>
  <c r="F45" i="6" s="1"/>
  <c r="D44" i="6"/>
  <c r="F44" i="6" s="1"/>
  <c r="D43" i="6"/>
  <c r="F43" i="6" s="1"/>
  <c r="D42" i="6"/>
  <c r="F42" i="6" s="1"/>
  <c r="D34" i="6"/>
  <c r="F34" i="6" s="1"/>
  <c r="D33" i="6"/>
  <c r="F33" i="6" s="1"/>
  <c r="D32" i="6"/>
  <c r="F32" i="6" s="1"/>
  <c r="D66" i="5" l="1"/>
  <c r="F66" i="5" s="1"/>
  <c r="D65" i="5"/>
  <c r="F65" i="5" s="1"/>
  <c r="D64" i="5"/>
  <c r="F64" i="5" s="1"/>
  <c r="D63" i="5"/>
  <c r="F63" i="5" s="1"/>
  <c r="D62" i="5"/>
  <c r="F62" i="5" s="1"/>
  <c r="D53" i="5"/>
  <c r="F53" i="5" s="1"/>
  <c r="D54" i="5"/>
  <c r="F54" i="5" s="1"/>
  <c r="D68" i="4" l="1"/>
  <c r="F68" i="4" s="1"/>
  <c r="D73" i="4"/>
  <c r="F73" i="4" s="1"/>
  <c r="F72" i="4"/>
  <c r="D72" i="4"/>
  <c r="F71" i="4"/>
  <c r="D71" i="4"/>
  <c r="F70" i="4"/>
  <c r="D70" i="4"/>
  <c r="C69" i="4"/>
  <c r="D69" i="4" s="1"/>
  <c r="F69" i="4" s="1"/>
  <c r="D56" i="4"/>
  <c r="C56" i="4"/>
  <c r="D57" i="4"/>
  <c r="F57" i="4" s="1"/>
  <c r="D45" i="3"/>
  <c r="F45" i="3" s="1"/>
  <c r="D44" i="3"/>
  <c r="F44" i="3" s="1"/>
  <c r="D43" i="3"/>
  <c r="F43" i="3" s="1"/>
  <c r="D33" i="3"/>
  <c r="F33" i="3" s="1"/>
  <c r="D34" i="3"/>
  <c r="F34" i="3" s="1"/>
  <c r="F56" i="4" l="1"/>
  <c r="C19" i="8" l="1"/>
  <c r="E23" i="8" l="1"/>
  <c r="F23" i="8" s="1"/>
  <c r="G23" i="8" s="1"/>
  <c r="D61" i="2"/>
  <c r="F61" i="2" s="1"/>
  <c r="D50" i="2" l="1"/>
  <c r="F50" i="2" s="1"/>
  <c r="D59" i="2" l="1"/>
  <c r="D48" i="2"/>
  <c r="F62" i="2"/>
  <c r="D62" i="2"/>
  <c r="F60" i="2"/>
  <c r="D60" i="2"/>
  <c r="F59" i="2"/>
  <c r="F48" i="2"/>
  <c r="C30" i="7" l="1"/>
  <c r="C31" i="4"/>
  <c r="C17" i="6"/>
  <c r="E19" i="3"/>
  <c r="F19" i="3" s="1"/>
  <c r="G19" i="3" s="1"/>
  <c r="D39" i="10"/>
  <c r="C39" i="10"/>
  <c r="F13" i="10" s="1"/>
  <c r="E38" i="10"/>
  <c r="E37" i="10"/>
  <c r="E36" i="10"/>
  <c r="E35" i="10"/>
  <c r="E34" i="10"/>
  <c r="E33" i="10"/>
  <c r="E32" i="10"/>
  <c r="E31" i="10"/>
  <c r="E30" i="10"/>
  <c r="E29" i="10"/>
  <c r="E28" i="10"/>
  <c r="E27" i="10"/>
  <c r="F32" i="10" s="1"/>
  <c r="F15" i="10"/>
  <c r="H15" i="10" s="1"/>
  <c r="F8" i="10"/>
  <c r="H8" i="10" s="1"/>
  <c r="F6" i="10"/>
  <c r="F9" i="10" l="1"/>
  <c r="E40" i="10"/>
  <c r="F40" i="10" s="1"/>
  <c r="H13" i="10"/>
  <c r="H16" i="10" s="1"/>
  <c r="F16" i="10"/>
  <c r="H6" i="10"/>
  <c r="H9" i="10" s="1"/>
  <c r="J12" i="9" l="1"/>
  <c r="J13" i="9"/>
  <c r="J11" i="9"/>
  <c r="J17" i="8"/>
  <c r="J20" i="8"/>
  <c r="J21" i="8"/>
  <c r="J22" i="8"/>
  <c r="J18" i="7"/>
  <c r="J21" i="7"/>
  <c r="J22" i="7"/>
  <c r="J23" i="7"/>
  <c r="J19" i="6"/>
  <c r="J20" i="6"/>
  <c r="J21" i="6"/>
  <c r="J16" i="6"/>
  <c r="J16" i="5"/>
  <c r="J18" i="5"/>
  <c r="J20" i="5"/>
  <c r="J22" i="5"/>
  <c r="K16" i="5" l="1"/>
  <c r="K18" i="5"/>
  <c r="K20" i="5"/>
  <c r="K22" i="5"/>
  <c r="K25" i="5"/>
  <c r="J18" i="4" l="1"/>
  <c r="J21" i="4"/>
  <c r="J23" i="4"/>
  <c r="J24" i="4"/>
  <c r="K18" i="4"/>
  <c r="K21" i="4"/>
  <c r="K23" i="4"/>
  <c r="K24" i="4"/>
  <c r="K29" i="4"/>
  <c r="N6" i="4"/>
  <c r="J18" i="3"/>
  <c r="J19" i="3"/>
  <c r="J21" i="3"/>
  <c r="J23" i="3"/>
  <c r="J24" i="3"/>
  <c r="K18" i="3"/>
  <c r="K19" i="3"/>
  <c r="K21" i="3"/>
  <c r="K23" i="3"/>
  <c r="K24" i="3"/>
  <c r="K27" i="3"/>
  <c r="J20" i="2" l="1"/>
  <c r="J22" i="2"/>
  <c r="J23" i="2"/>
  <c r="J24" i="2"/>
  <c r="K20" i="2"/>
  <c r="K22" i="2"/>
  <c r="K23" i="2"/>
  <c r="K24" i="2"/>
  <c r="K27" i="2"/>
  <c r="N3" i="2" l="1"/>
  <c r="S26" i="9" l="1"/>
  <c r="B25" i="9"/>
  <c r="W24" i="9"/>
  <c r="W26" i="9" s="1"/>
  <c r="V24" i="9"/>
  <c r="V26" i="9" s="1"/>
  <c r="U24" i="9"/>
  <c r="U26" i="9" s="1"/>
  <c r="T24" i="9"/>
  <c r="T26" i="9" s="1"/>
  <c r="S24" i="9"/>
  <c r="B23" i="9"/>
  <c r="B24" i="9" s="1"/>
  <c r="B21" i="9"/>
  <c r="E17" i="9"/>
  <c r="F17" i="9" s="1"/>
  <c r="G17" i="9" s="1"/>
  <c r="E16" i="9"/>
  <c r="F16" i="9" s="1"/>
  <c r="G16" i="9" s="1"/>
  <c r="E15" i="9"/>
  <c r="F15" i="9" s="1"/>
  <c r="G15" i="9" s="1"/>
  <c r="J15" i="9" s="1"/>
  <c r="E14" i="9"/>
  <c r="F14" i="9" s="1"/>
  <c r="E13" i="9"/>
  <c r="F13" i="9" s="1"/>
  <c r="G13" i="9" s="1"/>
  <c r="W12" i="9"/>
  <c r="V12" i="9"/>
  <c r="E12" i="9"/>
  <c r="F12" i="9" s="1"/>
  <c r="G12" i="9" s="1"/>
  <c r="E11" i="9"/>
  <c r="F11" i="9" s="1"/>
  <c r="G11" i="9" s="1"/>
  <c r="W10" i="9"/>
  <c r="V10" i="9"/>
  <c r="U10" i="9"/>
  <c r="U12" i="9" s="1"/>
  <c r="T10" i="9"/>
  <c r="T12" i="9" s="1"/>
  <c r="S10" i="9"/>
  <c r="S12" i="9" s="1"/>
  <c r="E42" i="8"/>
  <c r="F42" i="8" s="1"/>
  <c r="G42" i="8" s="1"/>
  <c r="E41" i="8"/>
  <c r="F41" i="8" s="1"/>
  <c r="G41" i="8" s="1"/>
  <c r="E40" i="8"/>
  <c r="F40" i="8" s="1"/>
  <c r="G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K34" i="8" s="1"/>
  <c r="J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K26" i="8" s="1"/>
  <c r="J26" i="8" s="1"/>
  <c r="E24" i="8"/>
  <c r="F24" i="8" s="1"/>
  <c r="G24" i="8" s="1"/>
  <c r="J24" i="8" s="1"/>
  <c r="J23" i="8"/>
  <c r="E19" i="8"/>
  <c r="F19" i="8" s="1"/>
  <c r="G19" i="8" s="1"/>
  <c r="J19" i="8" s="1"/>
  <c r="E18" i="8"/>
  <c r="F18" i="8" s="1"/>
  <c r="G18" i="8" s="1"/>
  <c r="E16" i="8"/>
  <c r="M10" i="8"/>
  <c r="M8" i="8"/>
  <c r="M9" i="8" s="1"/>
  <c r="M6" i="8"/>
  <c r="L64" i="7"/>
  <c r="L66" i="7" s="1"/>
  <c r="K64" i="7"/>
  <c r="K66" i="7" s="1"/>
  <c r="J64" i="7"/>
  <c r="J66" i="7" s="1"/>
  <c r="I64" i="7"/>
  <c r="I66" i="7" s="1"/>
  <c r="H64" i="7"/>
  <c r="H66" i="7" s="1"/>
  <c r="L50" i="7"/>
  <c r="L52" i="7" s="1"/>
  <c r="K50" i="7"/>
  <c r="K52" i="7" s="1"/>
  <c r="J50" i="7"/>
  <c r="J52" i="7" s="1"/>
  <c r="I50" i="7"/>
  <c r="I52" i="7" s="1"/>
  <c r="H50" i="7"/>
  <c r="H52" i="7" s="1"/>
  <c r="E38" i="7"/>
  <c r="F38" i="7" s="1"/>
  <c r="G38" i="7" s="1"/>
  <c r="E37" i="7"/>
  <c r="F37" i="7" s="1"/>
  <c r="G37" i="7" s="1"/>
  <c r="E36" i="7"/>
  <c r="F36" i="7" s="1"/>
  <c r="G36" i="7" s="1"/>
  <c r="E35" i="7"/>
  <c r="F35" i="7" s="1"/>
  <c r="E34" i="7"/>
  <c r="F34" i="7" s="1"/>
  <c r="K34" i="7" s="1"/>
  <c r="J34" i="7" s="1"/>
  <c r="E33" i="7"/>
  <c r="F33" i="7" s="1"/>
  <c r="E32" i="7"/>
  <c r="F32" i="7" s="1"/>
  <c r="E31" i="7"/>
  <c r="F31" i="7" s="1"/>
  <c r="E30" i="7"/>
  <c r="F30" i="7" s="1"/>
  <c r="E29" i="7"/>
  <c r="F29" i="7" s="1"/>
  <c r="K29" i="7" s="1"/>
  <c r="J29" i="7" s="1"/>
  <c r="E27" i="7"/>
  <c r="F27" i="7" s="1"/>
  <c r="G27" i="7" s="1"/>
  <c r="J27" i="7" s="1"/>
  <c r="E26" i="7"/>
  <c r="F26" i="7" s="1"/>
  <c r="G26" i="7" s="1"/>
  <c r="E25" i="7"/>
  <c r="F25" i="7" s="1"/>
  <c r="G25" i="7" s="1"/>
  <c r="J25" i="7" s="1"/>
  <c r="E20" i="7"/>
  <c r="F20" i="7" s="1"/>
  <c r="G20" i="7" s="1"/>
  <c r="J20" i="7" s="1"/>
  <c r="C19" i="7"/>
  <c r="E19" i="7" s="1"/>
  <c r="F19" i="7" s="1"/>
  <c r="G19" i="7" s="1"/>
  <c r="J19" i="7" s="1"/>
  <c r="E17" i="7"/>
  <c r="F17" i="7" s="1"/>
  <c r="G17" i="7" s="1"/>
  <c r="J17" i="7" s="1"/>
  <c r="E16" i="7"/>
  <c r="F16" i="7" s="1"/>
  <c r="M11" i="7"/>
  <c r="M9" i="7"/>
  <c r="M10" i="7" s="1"/>
  <c r="M7" i="7"/>
  <c r="L46" i="6"/>
  <c r="L48" i="6" s="1"/>
  <c r="K46" i="6"/>
  <c r="K48" i="6" s="1"/>
  <c r="J46" i="6"/>
  <c r="J48" i="6" s="1"/>
  <c r="I46" i="6"/>
  <c r="I48" i="6" s="1"/>
  <c r="H46" i="6"/>
  <c r="H48" i="6" s="1"/>
  <c r="L35" i="6"/>
  <c r="L37" i="6" s="1"/>
  <c r="K35" i="6"/>
  <c r="K37" i="6" s="1"/>
  <c r="J35" i="6"/>
  <c r="J37" i="6" s="1"/>
  <c r="I35" i="6"/>
  <c r="I37" i="6" s="1"/>
  <c r="H35" i="6"/>
  <c r="H37" i="6" s="1"/>
  <c r="E27" i="6"/>
  <c r="F27" i="6" s="1"/>
  <c r="G27" i="6" s="1"/>
  <c r="E26" i="6"/>
  <c r="F26" i="6" s="1"/>
  <c r="G26" i="6" s="1"/>
  <c r="E25" i="6"/>
  <c r="F25" i="6" s="1"/>
  <c r="G25" i="6" s="1"/>
  <c r="E23" i="6"/>
  <c r="F23" i="6" s="1"/>
  <c r="G23" i="6" s="1"/>
  <c r="J23" i="6" s="1"/>
  <c r="E22" i="6"/>
  <c r="F22" i="6" s="1"/>
  <c r="E18" i="6"/>
  <c r="F18" i="6" s="1"/>
  <c r="G18" i="6" s="1"/>
  <c r="J18" i="6" s="1"/>
  <c r="E17" i="6"/>
  <c r="F17" i="6" s="1"/>
  <c r="M11" i="6"/>
  <c r="M9" i="6"/>
  <c r="M7" i="6"/>
  <c r="L104" i="5"/>
  <c r="L106" i="5" s="1"/>
  <c r="K104" i="5"/>
  <c r="K106" i="5" s="1"/>
  <c r="J104" i="5"/>
  <c r="J106" i="5" s="1"/>
  <c r="I104" i="5"/>
  <c r="I106" i="5" s="1"/>
  <c r="H104" i="5"/>
  <c r="H106" i="5" s="1"/>
  <c r="D103" i="5"/>
  <c r="F103" i="5" s="1"/>
  <c r="F102" i="5"/>
  <c r="D102" i="5"/>
  <c r="D101" i="5"/>
  <c r="F101" i="5" s="1"/>
  <c r="D100" i="5"/>
  <c r="F100" i="5" s="1"/>
  <c r="D99" i="5"/>
  <c r="F99" i="5" s="1"/>
  <c r="D98" i="5"/>
  <c r="F98" i="5" s="1"/>
  <c r="D97" i="5"/>
  <c r="F97" i="5" s="1"/>
  <c r="D96" i="5"/>
  <c r="F96" i="5" s="1"/>
  <c r="D95" i="5"/>
  <c r="F95" i="5" s="1"/>
  <c r="D94" i="5"/>
  <c r="F94" i="5" s="1"/>
  <c r="D93" i="5"/>
  <c r="F93" i="5" s="1"/>
  <c r="D92" i="5"/>
  <c r="F92" i="5" s="1"/>
  <c r="L85" i="5"/>
  <c r="L87" i="5" s="1"/>
  <c r="K85" i="5"/>
  <c r="K87" i="5" s="1"/>
  <c r="J85" i="5"/>
  <c r="J87" i="5" s="1"/>
  <c r="I85" i="5"/>
  <c r="I87" i="5" s="1"/>
  <c r="H85" i="5"/>
  <c r="H87" i="5" s="1"/>
  <c r="F84" i="5"/>
  <c r="D84" i="5"/>
  <c r="D83" i="5"/>
  <c r="F83" i="5" s="1"/>
  <c r="D82" i="5"/>
  <c r="F82" i="5" s="1"/>
  <c r="D81" i="5"/>
  <c r="F81" i="5" s="1"/>
  <c r="D80" i="5"/>
  <c r="F80" i="5" s="1"/>
  <c r="D79" i="5"/>
  <c r="F79" i="5" s="1"/>
  <c r="D78" i="5"/>
  <c r="F78" i="5" s="1"/>
  <c r="D77" i="5"/>
  <c r="F77" i="5" s="1"/>
  <c r="D76" i="5"/>
  <c r="F76" i="5" s="1"/>
  <c r="D75" i="5"/>
  <c r="F75" i="5" s="1"/>
  <c r="F74" i="5"/>
  <c r="D74" i="5"/>
  <c r="F73" i="5"/>
  <c r="D73" i="5"/>
  <c r="L67" i="5"/>
  <c r="L69" i="5" s="1"/>
  <c r="K67" i="5"/>
  <c r="K69" i="5" s="1"/>
  <c r="J67" i="5"/>
  <c r="J69" i="5" s="1"/>
  <c r="I67" i="5"/>
  <c r="I69" i="5" s="1"/>
  <c r="H67" i="5"/>
  <c r="H69" i="5" s="1"/>
  <c r="L55" i="5"/>
  <c r="L57" i="5" s="1"/>
  <c r="K55" i="5"/>
  <c r="K57" i="5" s="1"/>
  <c r="J55" i="5"/>
  <c r="J57" i="5" s="1"/>
  <c r="I55" i="5"/>
  <c r="I57" i="5" s="1"/>
  <c r="H55" i="5"/>
  <c r="H57" i="5" s="1"/>
  <c r="D52" i="5"/>
  <c r="F52" i="5" s="1"/>
  <c r="D51" i="5"/>
  <c r="F51" i="5" s="1"/>
  <c r="F45" i="5"/>
  <c r="G45" i="5" s="1"/>
  <c r="E45" i="5"/>
  <c r="E44" i="5"/>
  <c r="F44" i="5" s="1"/>
  <c r="G44" i="5" s="1"/>
  <c r="E43" i="5"/>
  <c r="F43" i="5" s="1"/>
  <c r="G43" i="5" s="1"/>
  <c r="E42" i="5"/>
  <c r="E41" i="5"/>
  <c r="K41" i="5" s="1"/>
  <c r="J41" i="5" s="1"/>
  <c r="F40" i="5"/>
  <c r="G40" i="5" s="1"/>
  <c r="E40" i="5"/>
  <c r="K40" i="5" s="1"/>
  <c r="J40" i="5" s="1"/>
  <c r="F39" i="5"/>
  <c r="G39" i="5" s="1"/>
  <c r="E39" i="5"/>
  <c r="K39" i="5" s="1"/>
  <c r="J39" i="5" s="1"/>
  <c r="E38" i="5"/>
  <c r="K38" i="5" s="1"/>
  <c r="J38" i="5" s="1"/>
  <c r="E37" i="5"/>
  <c r="K37" i="5" s="1"/>
  <c r="J37" i="5" s="1"/>
  <c r="E36" i="5"/>
  <c r="E35" i="5"/>
  <c r="K35" i="5" s="1"/>
  <c r="J35" i="5" s="1"/>
  <c r="E34" i="5"/>
  <c r="F33" i="5"/>
  <c r="G33" i="5" s="1"/>
  <c r="E33" i="5"/>
  <c r="K33" i="5" s="1"/>
  <c r="J33" i="5" s="1"/>
  <c r="E32" i="5"/>
  <c r="E31" i="5"/>
  <c r="K31" i="5" s="1"/>
  <c r="J31" i="5" s="1"/>
  <c r="F30" i="5"/>
  <c r="G30" i="5" s="1"/>
  <c r="E30" i="5"/>
  <c r="K30" i="5" s="1"/>
  <c r="J30" i="5" s="1"/>
  <c r="E29" i="5"/>
  <c r="K29" i="5" s="1"/>
  <c r="J29" i="5" s="1"/>
  <c r="E28" i="5"/>
  <c r="E27" i="5"/>
  <c r="K27" i="5" s="1"/>
  <c r="J27" i="5" s="1"/>
  <c r="E26" i="5"/>
  <c r="K26" i="5" s="1"/>
  <c r="J26" i="5" s="1"/>
  <c r="E24" i="5"/>
  <c r="K24" i="5" s="1"/>
  <c r="E23" i="5"/>
  <c r="K23" i="5" s="1"/>
  <c r="C21" i="5"/>
  <c r="E21" i="5" s="1"/>
  <c r="E19" i="5"/>
  <c r="E17" i="5"/>
  <c r="E15" i="5"/>
  <c r="M10" i="5"/>
  <c r="M8" i="5"/>
  <c r="M9" i="5" s="1"/>
  <c r="M6" i="5"/>
  <c r="L74" i="4"/>
  <c r="L76" i="4" s="1"/>
  <c r="K74" i="4"/>
  <c r="K76" i="4" s="1"/>
  <c r="J74" i="4"/>
  <c r="J76" i="4" s="1"/>
  <c r="I74" i="4"/>
  <c r="I76" i="4" s="1"/>
  <c r="H74" i="4"/>
  <c r="H76" i="4" s="1"/>
  <c r="L61" i="4"/>
  <c r="L63" i="4" s="1"/>
  <c r="K61" i="4"/>
  <c r="K63" i="4" s="1"/>
  <c r="J61" i="4"/>
  <c r="J63" i="4" s="1"/>
  <c r="I61" i="4"/>
  <c r="I63" i="4" s="1"/>
  <c r="H61" i="4"/>
  <c r="H63" i="4" s="1"/>
  <c r="D60" i="4"/>
  <c r="F60" i="4" s="1"/>
  <c r="D59" i="4"/>
  <c r="F59" i="4" s="1"/>
  <c r="D58" i="4"/>
  <c r="F58" i="4" s="1"/>
  <c r="D55" i="4"/>
  <c r="F55" i="4" s="1"/>
  <c r="E49" i="4"/>
  <c r="F49" i="4" s="1"/>
  <c r="G49" i="4" s="1"/>
  <c r="E48" i="4"/>
  <c r="F48" i="4" s="1"/>
  <c r="G48" i="4" s="1"/>
  <c r="E47" i="4"/>
  <c r="F47" i="4" s="1"/>
  <c r="G47" i="4" s="1"/>
  <c r="E46" i="4"/>
  <c r="K46" i="4" s="1"/>
  <c r="J46" i="4" s="1"/>
  <c r="E45" i="4"/>
  <c r="K45" i="4" s="1"/>
  <c r="J45" i="4" s="1"/>
  <c r="E44" i="4"/>
  <c r="E43" i="4"/>
  <c r="K43" i="4" s="1"/>
  <c r="J43" i="4" s="1"/>
  <c r="F42" i="4"/>
  <c r="G42" i="4" s="1"/>
  <c r="E42" i="4"/>
  <c r="K42" i="4" s="1"/>
  <c r="J42" i="4" s="1"/>
  <c r="F41" i="4"/>
  <c r="G41" i="4" s="1"/>
  <c r="E41" i="4"/>
  <c r="K41" i="4" s="1"/>
  <c r="J41" i="4" s="1"/>
  <c r="E40" i="4"/>
  <c r="K40" i="4" s="1"/>
  <c r="J40" i="4" s="1"/>
  <c r="E39" i="4"/>
  <c r="E38" i="4"/>
  <c r="E37" i="4"/>
  <c r="E36" i="4"/>
  <c r="E35" i="4"/>
  <c r="K35" i="4" s="1"/>
  <c r="J35" i="4" s="1"/>
  <c r="E34" i="4"/>
  <c r="K34" i="4" s="1"/>
  <c r="J34" i="4" s="1"/>
  <c r="E33" i="4"/>
  <c r="E32" i="4"/>
  <c r="K32" i="4" s="1"/>
  <c r="J32" i="4" s="1"/>
  <c r="E31" i="4"/>
  <c r="E30" i="4"/>
  <c r="E28" i="4"/>
  <c r="K28" i="4" s="1"/>
  <c r="E27" i="4"/>
  <c r="K27" i="4" s="1"/>
  <c r="E26" i="4"/>
  <c r="K26" i="4" s="1"/>
  <c r="E25" i="4"/>
  <c r="E22" i="4"/>
  <c r="C20" i="4"/>
  <c r="E20" i="4" s="1"/>
  <c r="C19" i="4"/>
  <c r="E19" i="4" s="1"/>
  <c r="E17" i="4"/>
  <c r="K17" i="4" s="1"/>
  <c r="E16" i="4"/>
  <c r="K16" i="4" s="1"/>
  <c r="M9" i="4"/>
  <c r="M7" i="4"/>
  <c r="N7" i="4" s="1"/>
  <c r="N8" i="4" s="1"/>
  <c r="O8" i="4" s="1"/>
  <c r="M5" i="4"/>
  <c r="L47" i="3"/>
  <c r="L49" i="3" s="1"/>
  <c r="K47" i="3"/>
  <c r="K49" i="3" s="1"/>
  <c r="J47" i="3"/>
  <c r="J49" i="3" s="1"/>
  <c r="I47" i="3"/>
  <c r="I49" i="3" s="1"/>
  <c r="H47" i="3"/>
  <c r="H49" i="3" s="1"/>
  <c r="D46" i="3"/>
  <c r="F46" i="3" s="1"/>
  <c r="L36" i="3"/>
  <c r="L38" i="3" s="1"/>
  <c r="K36" i="3"/>
  <c r="K38" i="3" s="1"/>
  <c r="J36" i="3"/>
  <c r="J38" i="3" s="1"/>
  <c r="I36" i="3"/>
  <c r="I38" i="3" s="1"/>
  <c r="H36" i="3"/>
  <c r="H38" i="3" s="1"/>
  <c r="D35" i="3"/>
  <c r="F35" i="3" s="1"/>
  <c r="E28" i="3"/>
  <c r="F28" i="3" s="1"/>
  <c r="G28" i="3" s="1"/>
  <c r="E26" i="3"/>
  <c r="K26" i="3" s="1"/>
  <c r="E25" i="3"/>
  <c r="E22" i="3"/>
  <c r="K22" i="3" s="1"/>
  <c r="D20" i="3"/>
  <c r="E20" i="3" s="1"/>
  <c r="E16" i="3"/>
  <c r="K16" i="3" s="1"/>
  <c r="M9" i="3"/>
  <c r="M7" i="3"/>
  <c r="M8" i="3" s="1"/>
  <c r="M5" i="3"/>
  <c r="L63" i="2"/>
  <c r="L65" i="2" s="1"/>
  <c r="K63" i="2"/>
  <c r="K65" i="2" s="1"/>
  <c r="J63" i="2"/>
  <c r="J65" i="2" s="1"/>
  <c r="I63" i="2"/>
  <c r="I65" i="2" s="1"/>
  <c r="H63" i="2"/>
  <c r="H65" i="2" s="1"/>
  <c r="L52" i="2"/>
  <c r="L54" i="2" s="1"/>
  <c r="K52" i="2"/>
  <c r="K54" i="2" s="1"/>
  <c r="J52" i="2"/>
  <c r="J54" i="2" s="1"/>
  <c r="I52" i="2"/>
  <c r="I54" i="2" s="1"/>
  <c r="H52" i="2"/>
  <c r="H54" i="2" s="1"/>
  <c r="D51" i="2"/>
  <c r="F51" i="2" s="1"/>
  <c r="D49" i="2"/>
  <c r="F49" i="2" s="1"/>
  <c r="E43" i="2"/>
  <c r="F43" i="2" s="1"/>
  <c r="G43" i="2" s="1"/>
  <c r="E42" i="2"/>
  <c r="F42" i="2" s="1"/>
  <c r="G42" i="2" s="1"/>
  <c r="E41" i="2"/>
  <c r="K41" i="2" s="1"/>
  <c r="J41" i="2" s="1"/>
  <c r="E40" i="2"/>
  <c r="E39" i="2"/>
  <c r="E38" i="2"/>
  <c r="K38" i="2" s="1"/>
  <c r="J38" i="2" s="1"/>
  <c r="E37" i="2"/>
  <c r="E36" i="2"/>
  <c r="K36" i="2" s="1"/>
  <c r="J36" i="2" s="1"/>
  <c r="E35" i="2"/>
  <c r="E34" i="2"/>
  <c r="K34" i="2" s="1"/>
  <c r="J34" i="2" s="1"/>
  <c r="E33" i="2"/>
  <c r="K33" i="2" s="1"/>
  <c r="J33" i="2" s="1"/>
  <c r="E32" i="2"/>
  <c r="E31" i="2"/>
  <c r="E30" i="2"/>
  <c r="K30" i="2" s="1"/>
  <c r="J30" i="2" s="1"/>
  <c r="E29" i="2"/>
  <c r="E28" i="2"/>
  <c r="K28" i="2" s="1"/>
  <c r="J28" i="2" s="1"/>
  <c r="E26" i="2"/>
  <c r="C19" i="2"/>
  <c r="E19" i="2" s="1"/>
  <c r="C18" i="2"/>
  <c r="E18" i="2" s="1"/>
  <c r="E15" i="2"/>
  <c r="E14" i="2"/>
  <c r="M8" i="2"/>
  <c r="M6" i="2"/>
  <c r="M7" i="2" s="1"/>
  <c r="M4" i="2"/>
  <c r="D25" i="2" s="1"/>
  <c r="E25" i="2" s="1"/>
  <c r="G39" i="1"/>
  <c r="G38" i="1"/>
  <c r="G37" i="1"/>
  <c r="G36" i="1"/>
  <c r="G35" i="1"/>
  <c r="G33" i="1"/>
  <c r="M11" i="8" l="1"/>
  <c r="G34" i="8"/>
  <c r="M13" i="7"/>
  <c r="K33" i="7"/>
  <c r="J33" i="7" s="1"/>
  <c r="G33" i="7"/>
  <c r="G32" i="7"/>
  <c r="K32" i="7"/>
  <c r="J32" i="7" s="1"/>
  <c r="M12" i="7"/>
  <c r="G29" i="7"/>
  <c r="G34" i="7"/>
  <c r="G16" i="7"/>
  <c r="J16" i="7"/>
  <c r="G35" i="7"/>
  <c r="K35" i="7"/>
  <c r="J35" i="7" s="1"/>
  <c r="M12" i="6"/>
  <c r="G17" i="6"/>
  <c r="J17" i="6" s="1"/>
  <c r="M12" i="5"/>
  <c r="F24" i="5"/>
  <c r="G24" i="5" s="1"/>
  <c r="J24" i="5" s="1"/>
  <c r="F26" i="5"/>
  <c r="G26" i="5" s="1"/>
  <c r="F37" i="5"/>
  <c r="G37" i="5" s="1"/>
  <c r="M11" i="5"/>
  <c r="F15" i="5"/>
  <c r="G15" i="5" s="1"/>
  <c r="J15" i="5" s="1"/>
  <c r="K15" i="5"/>
  <c r="F17" i="5"/>
  <c r="G17" i="5" s="1"/>
  <c r="J17" i="5" s="1"/>
  <c r="K17" i="5"/>
  <c r="F19" i="5"/>
  <c r="G19" i="5" s="1"/>
  <c r="J19" i="5" s="1"/>
  <c r="K19" i="5"/>
  <c r="F32" i="5"/>
  <c r="G32" i="5" s="1"/>
  <c r="K32" i="5"/>
  <c r="J32" i="5" s="1"/>
  <c r="F36" i="5"/>
  <c r="G36" i="5" s="1"/>
  <c r="J36" i="5" s="1"/>
  <c r="K36" i="5"/>
  <c r="F42" i="5"/>
  <c r="G42" i="5" s="1"/>
  <c r="K42" i="5"/>
  <c r="J42" i="5" s="1"/>
  <c r="F21" i="5"/>
  <c r="G21" i="5" s="1"/>
  <c r="J21" i="5" s="1"/>
  <c r="K21" i="5"/>
  <c r="F27" i="5"/>
  <c r="G27" i="5" s="1"/>
  <c r="F28" i="5"/>
  <c r="G28" i="5" s="1"/>
  <c r="K28" i="5"/>
  <c r="J28" i="5" s="1"/>
  <c r="F29" i="5"/>
  <c r="G29" i="5" s="1"/>
  <c r="F31" i="5"/>
  <c r="G31" i="5" s="1"/>
  <c r="F34" i="5"/>
  <c r="G34" i="5" s="1"/>
  <c r="K34" i="5"/>
  <c r="J34" i="5" s="1"/>
  <c r="F38" i="5"/>
  <c r="G38" i="5" s="1"/>
  <c r="F41" i="5"/>
  <c r="G41" i="5" s="1"/>
  <c r="M10" i="4"/>
  <c r="M8" i="4"/>
  <c r="F28" i="4"/>
  <c r="G28" i="4" s="1"/>
  <c r="J28" i="4" s="1"/>
  <c r="F34" i="4"/>
  <c r="G34" i="4" s="1"/>
  <c r="F35" i="4"/>
  <c r="G35" i="4" s="1"/>
  <c r="F46" i="4"/>
  <c r="G46" i="4" s="1"/>
  <c r="K20" i="4"/>
  <c r="F20" i="4"/>
  <c r="G20" i="4" s="1"/>
  <c r="J20" i="4" s="1"/>
  <c r="M11" i="4"/>
  <c r="F16" i="4"/>
  <c r="G16" i="4" s="1"/>
  <c r="J16" i="4" s="1"/>
  <c r="F17" i="4"/>
  <c r="G17" i="4" s="1"/>
  <c r="J17" i="4" s="1"/>
  <c r="F19" i="4"/>
  <c r="G19" i="4" s="1"/>
  <c r="J19" i="4" s="1"/>
  <c r="K19" i="4"/>
  <c r="F25" i="4"/>
  <c r="G25" i="4" s="1"/>
  <c r="J25" i="4" s="1"/>
  <c r="K25" i="4"/>
  <c r="F26" i="4"/>
  <c r="G26" i="4" s="1"/>
  <c r="J26" i="4" s="1"/>
  <c r="F30" i="4"/>
  <c r="G30" i="4" s="1"/>
  <c r="K30" i="4"/>
  <c r="J30" i="4" s="1"/>
  <c r="F36" i="4"/>
  <c r="G36" i="4" s="1"/>
  <c r="K36" i="4"/>
  <c r="J36" i="4" s="1"/>
  <c r="F39" i="4"/>
  <c r="G39" i="4" s="1"/>
  <c r="K39" i="4"/>
  <c r="J39" i="4" s="1"/>
  <c r="F40" i="4"/>
  <c r="G40" i="4" s="1"/>
  <c r="F43" i="4"/>
  <c r="G43" i="4" s="1"/>
  <c r="F44" i="4"/>
  <c r="G44" i="4" s="1"/>
  <c r="K44" i="4"/>
  <c r="J44" i="4" s="1"/>
  <c r="F45" i="4"/>
  <c r="G45" i="4" s="1"/>
  <c r="F22" i="4"/>
  <c r="G22" i="4" s="1"/>
  <c r="J22" i="4" s="1"/>
  <c r="K22" i="4"/>
  <c r="F33" i="4"/>
  <c r="G33" i="4" s="1"/>
  <c r="K33" i="4"/>
  <c r="J33" i="4" s="1"/>
  <c r="F37" i="4"/>
  <c r="G37" i="4" s="1"/>
  <c r="K37" i="4"/>
  <c r="J37" i="4" s="1"/>
  <c r="F38" i="4"/>
  <c r="G38" i="4" s="1"/>
  <c r="K38" i="4"/>
  <c r="J38" i="4" s="1"/>
  <c r="M11" i="3"/>
  <c r="F16" i="3"/>
  <c r="G16" i="3" s="1"/>
  <c r="J16" i="3" s="1"/>
  <c r="F22" i="3"/>
  <c r="G22" i="3" s="1"/>
  <c r="J22" i="3" s="1"/>
  <c r="J18" i="8"/>
  <c r="K18" i="8"/>
  <c r="K28" i="8"/>
  <c r="J28" i="8" s="1"/>
  <c r="G28" i="8"/>
  <c r="G31" i="8"/>
  <c r="K31" i="8"/>
  <c r="J31" i="8" s="1"/>
  <c r="K33" i="8"/>
  <c r="J33" i="8" s="1"/>
  <c r="G33" i="8"/>
  <c r="K36" i="8"/>
  <c r="J36" i="8" s="1"/>
  <c r="G36" i="8"/>
  <c r="G39" i="8"/>
  <c r="K39" i="8"/>
  <c r="J39" i="8" s="1"/>
  <c r="M12" i="8"/>
  <c r="G26" i="8"/>
  <c r="G29" i="8"/>
  <c r="K29" i="8"/>
  <c r="J29" i="8" s="1"/>
  <c r="G32" i="8"/>
  <c r="K32" i="8"/>
  <c r="J32" i="8" s="1"/>
  <c r="G35" i="8"/>
  <c r="K35" i="8"/>
  <c r="J35" i="8" s="1"/>
  <c r="G38" i="8"/>
  <c r="K38" i="8"/>
  <c r="J38" i="8" s="1"/>
  <c r="G27" i="8"/>
  <c r="K27" i="8"/>
  <c r="J27" i="8" s="1"/>
  <c r="G30" i="8"/>
  <c r="K30" i="8"/>
  <c r="J30" i="8" s="1"/>
  <c r="G37" i="8"/>
  <c r="K37" i="8"/>
  <c r="J37" i="8" s="1"/>
  <c r="F16" i="8"/>
  <c r="G16" i="8" s="1"/>
  <c r="J16" i="8" s="1"/>
  <c r="F28" i="2"/>
  <c r="G28" i="2" s="1"/>
  <c r="F33" i="2"/>
  <c r="G33" i="2" s="1"/>
  <c r="F36" i="2"/>
  <c r="G36" i="2" s="1"/>
  <c r="F41" i="2"/>
  <c r="G41" i="2" s="1"/>
  <c r="F25" i="2"/>
  <c r="G25" i="2" s="1"/>
  <c r="J25" i="2" s="1"/>
  <c r="K25" i="2"/>
  <c r="D21" i="2"/>
  <c r="E21" i="2" s="1"/>
  <c r="E16" i="2"/>
  <c r="F14" i="2" s="1"/>
  <c r="G14" i="2" s="1"/>
  <c r="F19" i="2"/>
  <c r="G19" i="2" s="1"/>
  <c r="J19" i="2" s="1"/>
  <c r="K19" i="2"/>
  <c r="F29" i="2"/>
  <c r="G29" i="2" s="1"/>
  <c r="K29" i="2"/>
  <c r="J29" i="2" s="1"/>
  <c r="F30" i="2"/>
  <c r="G30" i="2" s="1"/>
  <c r="F31" i="2"/>
  <c r="G31" i="2" s="1"/>
  <c r="K31" i="2"/>
  <c r="J31" i="2" s="1"/>
  <c r="F34" i="2"/>
  <c r="G34" i="2" s="1"/>
  <c r="F37" i="2"/>
  <c r="G37" i="2" s="1"/>
  <c r="K37" i="2"/>
  <c r="J37" i="2" s="1"/>
  <c r="F38" i="2"/>
  <c r="G38" i="2" s="1"/>
  <c r="F39" i="2"/>
  <c r="G39" i="2" s="1"/>
  <c r="K39" i="2"/>
  <c r="J39" i="2" s="1"/>
  <c r="M10" i="2"/>
  <c r="N4" i="2"/>
  <c r="N5" i="2" s="1"/>
  <c r="M9" i="2"/>
  <c r="F18" i="2"/>
  <c r="G18" i="2" s="1"/>
  <c r="J18" i="2" s="1"/>
  <c r="K18" i="2"/>
  <c r="F26" i="2"/>
  <c r="G26" i="2" s="1"/>
  <c r="J26" i="2" s="1"/>
  <c r="K26" i="2"/>
  <c r="F32" i="2"/>
  <c r="G32" i="2" s="1"/>
  <c r="K32" i="2"/>
  <c r="J32" i="2" s="1"/>
  <c r="F35" i="2"/>
  <c r="G35" i="2" s="1"/>
  <c r="K35" i="2"/>
  <c r="J35" i="2" s="1"/>
  <c r="F40" i="2"/>
  <c r="G40" i="2" s="1"/>
  <c r="K40" i="2"/>
  <c r="J40" i="2" s="1"/>
  <c r="F35" i="5"/>
  <c r="G35" i="5" s="1"/>
  <c r="M13" i="6"/>
  <c r="M10" i="6"/>
  <c r="G22" i="6"/>
  <c r="J22" i="6" s="1"/>
  <c r="F26" i="3"/>
  <c r="F25" i="3"/>
  <c r="K25" i="3"/>
  <c r="F20" i="3"/>
  <c r="G20" i="3" s="1"/>
  <c r="J20" i="3" s="1"/>
  <c r="K20" i="3"/>
  <c r="J17" i="3"/>
  <c r="K17" i="3"/>
  <c r="F27" i="4"/>
  <c r="G27" i="4" s="1"/>
  <c r="J27" i="4" s="1"/>
  <c r="G31" i="7"/>
  <c r="K31" i="7"/>
  <c r="J31" i="7" s="1"/>
  <c r="G30" i="7"/>
  <c r="K30" i="7"/>
  <c r="J30" i="7" s="1"/>
  <c r="F32" i="4"/>
  <c r="G32" i="4" s="1"/>
  <c r="F31" i="4"/>
  <c r="G31" i="4" s="1"/>
  <c r="K31" i="4"/>
  <c r="J31" i="4" s="1"/>
  <c r="G14" i="9"/>
  <c r="J14" i="9" s="1"/>
  <c r="J16" i="9" s="1"/>
  <c r="B13" i="10" s="1"/>
  <c r="J26" i="7"/>
  <c r="F23" i="5"/>
  <c r="M10" i="3"/>
  <c r="B27" i="9"/>
  <c r="B26" i="9"/>
  <c r="J40" i="8" l="1"/>
  <c r="B12" i="10" s="1"/>
  <c r="J36" i="7"/>
  <c r="B11" i="10" s="1"/>
  <c r="F21" i="2"/>
  <c r="G21" i="2" s="1"/>
  <c r="J21" i="2" s="1"/>
  <c r="J42" i="2" s="1"/>
  <c r="B6" i="10" s="1"/>
  <c r="K21" i="2"/>
  <c r="J25" i="6"/>
  <c r="B10" i="10" s="1"/>
  <c r="G25" i="3"/>
  <c r="J25" i="3" s="1"/>
  <c r="G26" i="3"/>
  <c r="J26" i="3" s="1"/>
  <c r="J47" i="4"/>
  <c r="B8" i="10" s="1"/>
  <c r="G23" i="5"/>
  <c r="J23" i="5" s="1"/>
  <c r="J43" i="5" s="1"/>
  <c r="B9" i="10" s="1"/>
  <c r="J27" i="3" l="1"/>
  <c r="B7" i="10" s="1"/>
  <c r="C11" i="10" s="1"/>
  <c r="C15" i="10" s="1"/>
  <c r="B23" i="10" l="1"/>
  <c r="C23" i="10" s="1"/>
</calcChain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buah harus 3 item, 1 buah sehari.</t>
        </r>
      </text>
    </comment>
    <comment ref="C5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G5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protin hewani 3 pcs aja</t>
        </r>
      </text>
    </comment>
    <comment ref="C7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E7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diperbesar</t>
        </r>
      </text>
    </comment>
    <comment ref="A19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buah harus 3 item, 1 buah sehari.</t>
        </r>
      </text>
    </comment>
    <comment ref="A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protin hewani 3 pcs aja</t>
        </r>
      </text>
    </comment>
    <comment ref="B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protin hewani 3 pcs aja</t>
        </r>
      </text>
    </comment>
    <comment ref="E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F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G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H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I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J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K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E22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F22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E3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E32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C35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D35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</commentList>
</comments>
</file>

<file path=xl/comments2.xml><?xml version="1.0" encoding="utf-8"?>
<comments xmlns="http://schemas.openxmlformats.org/spreadsheetml/2006/main">
  <authors>
    <author/>
    <author>tc={f4f86296-7f43-4706-8290-c7ab8d67051e}</author>
  </authors>
  <commentLis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protin hewani 3 pcs aja</t>
        </r>
      </text>
    </comment>
    <comment ref="B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protin hewani 3 pcs aja</t>
        </r>
      </text>
    </comment>
    <comment ref="B2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TAHU masukan dalam pcs jangan gram</t>
        </r>
      </text>
    </comment>
    <comment ref="C22" authorId="1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 revisi jd 1, apa emang mau dikasi 2?
Reply:
    1</t>
        </r>
      </text>
    </comment>
  </commentList>
</comments>
</file>

<file path=xl/comments3.xml><?xml version="1.0" encoding="utf-8"?>
<comments xmlns="http://schemas.openxmlformats.org/spreadsheetml/2006/main">
  <authors>
    <author/>
    <author>tc={0e8efd9f-9c15-4bff-a383-d68cd5924d4c}</author>
  </authors>
  <commentLis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B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kayanya jgn lele semua, lelenya 2 telur nya 1 biar ga keteteran</t>
        </r>
      </text>
    </comment>
    <comment ref="A7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B7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aja tapi ukurannya dperbesar</t>
        </r>
      </text>
    </comment>
    <comment ref="C28" authorId="1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kasih 1 sdm aja jatahnya buat 1 anak
Reply:
    ohh oke kak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B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  <comment ref="B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51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6" author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tambah telur 1 masuk ga anggarannya?</t>
        </r>
      </text>
    </comment>
  </commentList>
</comments>
</file>

<file path=xl/sharedStrings.xml><?xml version="1.0" encoding="utf-8"?>
<sst xmlns="http://schemas.openxmlformats.org/spreadsheetml/2006/main" count="1239" uniqueCount="285">
  <si>
    <t>MENU</t>
  </si>
  <si>
    <t>9-11 MARET</t>
  </si>
  <si>
    <t>12-14 MARET</t>
  </si>
  <si>
    <t>15-17 MARET</t>
  </si>
  <si>
    <t>18-20 MARET</t>
  </si>
  <si>
    <t>KECIL</t>
  </si>
  <si>
    <t>BESAR</t>
  </si>
  <si>
    <t>roti 3</t>
  </si>
  <si>
    <t>jagung rebus 1 pcs (potong jd 2)</t>
  </si>
  <si>
    <t>Jagung rebus 1 1/2</t>
  </si>
  <si>
    <t>Goguma bread 2</t>
  </si>
  <si>
    <t>Bolen pisang 3pcs</t>
  </si>
  <si>
    <t>ayam kuning 3 potong</t>
  </si>
  <si>
    <t>Ikan lele goreng 2</t>
  </si>
  <si>
    <t>ikan lele goreng 2</t>
  </si>
  <si>
    <t>ayam bumbu kuning 2</t>
  </si>
  <si>
    <t>ayam goreng 2 pcs</t>
  </si>
  <si>
    <t>tahu bumbu kuning 2pcs</t>
  </si>
  <si>
    <t>tahu bumbu kunging 2pcs</t>
  </si>
  <si>
    <t>Telur ayam 1</t>
  </si>
  <si>
    <t>Tahu bakso 2</t>
  </si>
  <si>
    <t>Tahu Bakso 2</t>
  </si>
  <si>
    <t>Telur ayam rebus 1</t>
  </si>
  <si>
    <t>telur ayam rebus 1</t>
  </si>
  <si>
    <t>tempe bumbu kuning 1pcs</t>
  </si>
  <si>
    <t>tempe bacem 3pcs</t>
  </si>
  <si>
    <t>puding wortel 1</t>
  </si>
  <si>
    <t>tahu goreng 3</t>
  </si>
  <si>
    <t>sari kacang hijau 2pcs</t>
  </si>
  <si>
    <t>Sari Kacanng Hijau 2</t>
  </si>
  <si>
    <t>puding labu kuning 1</t>
  </si>
  <si>
    <t>alpukat 1</t>
  </si>
  <si>
    <t>susu 115 2pcs</t>
  </si>
  <si>
    <t>susu 225 1pcs</t>
  </si>
  <si>
    <t>manggis 1</t>
  </si>
  <si>
    <t>susu 225 ml 1pcs</t>
  </si>
  <si>
    <t>Jeruk 1</t>
  </si>
  <si>
    <t>Manggis 1</t>
  </si>
  <si>
    <t>pisang 2</t>
  </si>
  <si>
    <t>Jeruk 2</t>
  </si>
  <si>
    <t>markisa 1</t>
  </si>
  <si>
    <t>maarkisa 1</t>
  </si>
  <si>
    <t>kelengkeng 10</t>
  </si>
  <si>
    <t>pisang sunpride 1</t>
  </si>
  <si>
    <t xml:space="preserve">kurma 10 </t>
  </si>
  <si>
    <t>kurma 10 butir</t>
  </si>
  <si>
    <t>MANTAP NII</t>
  </si>
  <si>
    <t>Senin  09/03/26</t>
  </si>
  <si>
    <t>Selasa  10/03/26</t>
  </si>
  <si>
    <t>Rabu  11/03/26</t>
  </si>
  <si>
    <t>Kamis 12/03/26</t>
  </si>
  <si>
    <t>Jumat 13/03/26</t>
  </si>
  <si>
    <t>Sabtu 14/03/26</t>
  </si>
  <si>
    <t>ayam kuning 1 potong</t>
  </si>
  <si>
    <t>roti pizza</t>
  </si>
  <si>
    <t>tahu bumbu kuning 1pcs</t>
  </si>
  <si>
    <t>ayam goreng 1 pcs</t>
  </si>
  <si>
    <t>sari kacang hijau 1</t>
  </si>
  <si>
    <t>telur puyuh 30gr</t>
  </si>
  <si>
    <t>markisa</t>
  </si>
  <si>
    <t>Kurma 35grm</t>
  </si>
  <si>
    <t>Kurma 35gr</t>
  </si>
  <si>
    <t>MENU B3</t>
  </si>
  <si>
    <t>PENERIMA MANFAAT</t>
  </si>
  <si>
    <t>PAUD, TK, SD 1 - 3</t>
  </si>
  <si>
    <t>BALITA</t>
  </si>
  <si>
    <t>IBU</t>
  </si>
  <si>
    <t>SD 4 - 6, SMP, SMA</t>
  </si>
  <si>
    <t>Goguma Bread 2</t>
  </si>
  <si>
    <t>Telur ayam rebus 2</t>
  </si>
  <si>
    <t>B3</t>
  </si>
  <si>
    <t>PORSI KECIL</t>
  </si>
  <si>
    <t>PORSI BESAR</t>
  </si>
  <si>
    <t xml:space="preserve">TOTAL </t>
  </si>
  <si>
    <t>Kurma 10</t>
  </si>
  <si>
    <t>RAPEL 3 HARI</t>
  </si>
  <si>
    <t>jangan lupa di list paliing bawah diketik kebutuhan wadah ya, plastik mika untuk bahan makanan apa aja</t>
  </si>
  <si>
    <t>Karbohidrat</t>
  </si>
  <si>
    <t>Berat Kotor (Gram)</t>
  </si>
  <si>
    <t>Murid</t>
  </si>
  <si>
    <t>Total (gram)</t>
  </si>
  <si>
    <t>Buffer 3% (Gram)</t>
  </si>
  <si>
    <t>Dalam (Kg)</t>
  </si>
  <si>
    <t>Satuan</t>
  </si>
  <si>
    <t>Harga/Satuan</t>
  </si>
  <si>
    <t>Total</t>
  </si>
  <si>
    <t>Kg</t>
  </si>
  <si>
    <t>Protein Hewani</t>
  </si>
  <si>
    <t>Porsi Kecil</t>
  </si>
  <si>
    <t>Ayam 1kg 12</t>
  </si>
  <si>
    <t>Porsi Besar</t>
  </si>
  <si>
    <t>Ayam 1kg 10</t>
  </si>
  <si>
    <t>Protein Nabati</t>
  </si>
  <si>
    <t xml:space="preserve">Tahu </t>
  </si>
  <si>
    <t>Pcs</t>
  </si>
  <si>
    <t>pcs</t>
  </si>
  <si>
    <t>Sayur</t>
  </si>
  <si>
    <t>Buah</t>
  </si>
  <si>
    <t>Markisa</t>
  </si>
  <si>
    <t>Lainnya</t>
  </si>
  <si>
    <t>kunyit utuh</t>
  </si>
  <si>
    <t>jahe utuh</t>
  </si>
  <si>
    <t>kemiri</t>
  </si>
  <si>
    <t>bawang merah kupas</t>
  </si>
  <si>
    <t>bawang putih kupas</t>
  </si>
  <si>
    <t>ketumbar bubuk</t>
  </si>
  <si>
    <t>garam</t>
  </si>
  <si>
    <t>knor ayam</t>
  </si>
  <si>
    <t>gula pasir</t>
  </si>
  <si>
    <t>miwon</t>
  </si>
  <si>
    <t>minyak goreng</t>
  </si>
  <si>
    <t>Liter</t>
  </si>
  <si>
    <t>daun salam</t>
  </si>
  <si>
    <t>Sereh</t>
  </si>
  <si>
    <t>sausa tiram panda</t>
  </si>
  <si>
    <t>Plastik kurma</t>
  </si>
  <si>
    <t>Tinwall untuk masukin ayam dan tahu</t>
  </si>
  <si>
    <t xml:space="preserve">Kandungan gizi TK dan SD 1-3 </t>
  </si>
  <si>
    <t>Bahan Makanan</t>
  </si>
  <si>
    <t>BDD %</t>
  </si>
  <si>
    <t>Berat Kotor</t>
  </si>
  <si>
    <t>Berat Bersih</t>
  </si>
  <si>
    <t>Faktor Konversi</t>
  </si>
  <si>
    <t>Penyajian (gr)</t>
  </si>
  <si>
    <t>URT</t>
  </si>
  <si>
    <t>Energi</t>
  </si>
  <si>
    <t>Protein</t>
  </si>
  <si>
    <t>Lemak</t>
  </si>
  <si>
    <t>Serat</t>
  </si>
  <si>
    <t>TOTAL</t>
  </si>
  <si>
    <t>20 %  KEBUTUHAN HARIAN</t>
  </si>
  <si>
    <t>%  KECUKUPAN GIZI</t>
  </si>
  <si>
    <t>Kandungan gizi SD 4-6 DAN SMP - SMA</t>
  </si>
  <si>
    <t>30 %  KEBUTUHAN HARIAN</t>
  </si>
  <si>
    <t>Kandungan gizi Balita</t>
  </si>
  <si>
    <t>Kandungan gizi Bumil Busui</t>
  </si>
  <si>
    <t>karbohidrat</t>
  </si>
  <si>
    <t>Roti Lembaran</t>
  </si>
  <si>
    <t>Ubi Ungu</t>
  </si>
  <si>
    <t>Jeruk</t>
  </si>
  <si>
    <t>kurma 35gr</t>
  </si>
  <si>
    <t>Susu Kental Manis</t>
  </si>
  <si>
    <t>liter</t>
  </si>
  <si>
    <t>Telur</t>
  </si>
  <si>
    <t>Tepung Panir kuning</t>
  </si>
  <si>
    <t>Plastik goguma bread</t>
  </si>
  <si>
    <t>Tinwall ayam</t>
  </si>
  <si>
    <t>plastik kurma</t>
  </si>
  <si>
    <t>Kelengkeng</t>
  </si>
  <si>
    <t>saus tiram panda</t>
  </si>
  <si>
    <t>Roti Pizza</t>
  </si>
  <si>
    <t>dimsum</t>
  </si>
  <si>
    <t>Ayam giling MDM</t>
  </si>
  <si>
    <t>Sari kacang hijau 100ml</t>
  </si>
  <si>
    <t>Wortel serut</t>
  </si>
  <si>
    <t>daun bawang</t>
  </si>
  <si>
    <t>kg</t>
  </si>
  <si>
    <t>Tepung tapioka</t>
  </si>
  <si>
    <t>Jahe</t>
  </si>
  <si>
    <t>Minyak Wijen</t>
  </si>
  <si>
    <t>Kecap asin</t>
  </si>
  <si>
    <t>Saos Tiram</t>
  </si>
  <si>
    <t>Tepung terigu</t>
  </si>
  <si>
    <t>gula Pasir</t>
  </si>
  <si>
    <t>Litter</t>
  </si>
  <si>
    <t>Mika wadah dimsum</t>
  </si>
  <si>
    <t>MIka wadah utama</t>
  </si>
  <si>
    <t xml:space="preserve">Telur Ayam </t>
  </si>
  <si>
    <t>Susu 115</t>
  </si>
  <si>
    <t>kurma 3 butir</t>
  </si>
  <si>
    <t>Tepung Panir Putih</t>
  </si>
  <si>
    <t>Mika wadah Utama</t>
  </si>
  <si>
    <t>Susu 225ml</t>
  </si>
  <si>
    <t>plastik ayam goreng</t>
  </si>
  <si>
    <t>mika wadah utama</t>
  </si>
  <si>
    <t>SABTU</t>
  </si>
  <si>
    <t>ANAK SEKOLAH</t>
  </si>
  <si>
    <t xml:space="preserve">Sari Kacang Hijau </t>
  </si>
  <si>
    <t>Plastik Kurma</t>
  </si>
  <si>
    <t>Mika wadah utama</t>
  </si>
  <si>
    <t xml:space="preserve">Kulit pangsit bulat </t>
  </si>
  <si>
    <t xml:space="preserve">kunyit </t>
  </si>
  <si>
    <t xml:space="preserve">jahe </t>
  </si>
  <si>
    <t xml:space="preserve">saos tiram </t>
  </si>
  <si>
    <t>lada</t>
  </si>
  <si>
    <t xml:space="preserve">LAPORAN ANGGRAN BAHAN BAKU 
PERIODE </t>
  </si>
  <si>
    <t>RENCANA</t>
  </si>
  <si>
    <t>TANGGAL</t>
  </si>
  <si>
    <t>REALISASI ANGGARAN</t>
  </si>
  <si>
    <t>NO</t>
  </si>
  <si>
    <t>KEBUTUHAN</t>
  </si>
  <si>
    <t>JUMLAH SISWA</t>
  </si>
  <si>
    <t>ANGGARAN</t>
  </si>
  <si>
    <t>JUMLAH</t>
  </si>
  <si>
    <t>Kelas Bawah (Balita -  PAUD - TK - SD/MI 1-3 )</t>
  </si>
  <si>
    <t>Kelas Atas ( SD/MI kelas 4 - SMP/MTS - SMA/SMK Kelas 3 - Bumil - Busui)</t>
  </si>
  <si>
    <t>REALISASI</t>
  </si>
  <si>
    <t>-</t>
  </si>
  <si>
    <t>Penerima manfaat periode 19/08/2025 - 29/08/2025</t>
  </si>
  <si>
    <t>HARI</t>
  </si>
  <si>
    <t>TK,SD 1-3</t>
  </si>
  <si>
    <t>SD 4-6, SMP, SMA</t>
  </si>
  <si>
    <t>JUMLAH SELURUHNYA</t>
  </si>
  <si>
    <t>Senin</t>
  </si>
  <si>
    <t>Selasa</t>
  </si>
  <si>
    <t>Rabu</t>
  </si>
  <si>
    <t>Kamis</t>
  </si>
  <si>
    <t>Jumat</t>
  </si>
  <si>
    <t>Sabtu</t>
  </si>
  <si>
    <t>kelengkeng</t>
  </si>
  <si>
    <t>Roti</t>
  </si>
  <si>
    <t>dimsum ayam 2</t>
  </si>
  <si>
    <t>lengkeng</t>
  </si>
  <si>
    <t>sari kacang hijau 100ml 1pcs</t>
  </si>
  <si>
    <t>Kelengkeng 50</t>
  </si>
  <si>
    <t>roti</t>
  </si>
  <si>
    <t>susu</t>
  </si>
  <si>
    <t>Roti abon</t>
  </si>
  <si>
    <t>roti abon</t>
  </si>
  <si>
    <t>susu 115ml</t>
  </si>
  <si>
    <t>naga</t>
  </si>
  <si>
    <t>porsi besar</t>
  </si>
  <si>
    <t>kurma</t>
  </si>
  <si>
    <t>jeruk manis</t>
  </si>
  <si>
    <t>kurma 3</t>
  </si>
  <si>
    <t>susu kecil 2</t>
  </si>
  <si>
    <t>1 potong ayam sedang</t>
  </si>
  <si>
    <t>Ayam</t>
  </si>
  <si>
    <t>Tahu</t>
  </si>
  <si>
    <t>1 bh sedang</t>
  </si>
  <si>
    <t>3 biji</t>
  </si>
  <si>
    <t>2 biji</t>
  </si>
  <si>
    <t>Susu 115 ml</t>
  </si>
  <si>
    <t>1 kotak kecil</t>
  </si>
  <si>
    <t>Sari Kacang Hijau ABC</t>
  </si>
  <si>
    <t>Kelengkeng 5</t>
  </si>
  <si>
    <t>anggur 4</t>
  </si>
  <si>
    <t>ayam</t>
  </si>
  <si>
    <t>telur</t>
  </si>
  <si>
    <t>sari kacang hijau</t>
  </si>
  <si>
    <t>apel</t>
  </si>
  <si>
    <t xml:space="preserve">  </t>
  </si>
  <si>
    <t>tahu 2</t>
  </si>
  <si>
    <t>tempe 1</t>
  </si>
  <si>
    <t>Kurma</t>
  </si>
  <si>
    <t xml:space="preserve">susu 115ml </t>
  </si>
  <si>
    <t>susu 115ml 2</t>
  </si>
  <si>
    <t>1 buah sedang</t>
  </si>
  <si>
    <t>BALITA 9</t>
  </si>
  <si>
    <t>IBU 10</t>
  </si>
  <si>
    <t>3 bijji</t>
  </si>
  <si>
    <t>1 bh besar</t>
  </si>
  <si>
    <t>5 biji</t>
  </si>
  <si>
    <t>2 ptg sdg</t>
  </si>
  <si>
    <t xml:space="preserve">Kurma </t>
  </si>
  <si>
    <t>13 bii</t>
  </si>
  <si>
    <t>2 ptg</t>
  </si>
  <si>
    <t>Dimsum Ayam</t>
  </si>
  <si>
    <t>Sari Kacang Hijau</t>
  </si>
  <si>
    <t xml:space="preserve">Telur ayam </t>
  </si>
  <si>
    <t>1 butir</t>
  </si>
  <si>
    <t>Telur ayam 2</t>
  </si>
  <si>
    <t>2 kotak kecil</t>
  </si>
  <si>
    <t>2 butir</t>
  </si>
  <si>
    <t>10 biji</t>
  </si>
  <si>
    <t>lengkeng 4</t>
  </si>
  <si>
    <t>Kurma 10 biji</t>
  </si>
  <si>
    <t>Kelengkeng 4</t>
  </si>
  <si>
    <t>4 biji</t>
  </si>
  <si>
    <t>kurma 6</t>
  </si>
  <si>
    <t>Roti 1</t>
  </si>
  <si>
    <t>Ayam ungkep</t>
  </si>
  <si>
    <t>Kurma 6 biji</t>
  </si>
  <si>
    <t>roti 1</t>
  </si>
  <si>
    <t>tahu 4</t>
  </si>
  <si>
    <t>kurma 19</t>
  </si>
  <si>
    <t>ayam kuning 1</t>
  </si>
  <si>
    <t>3 butir</t>
  </si>
  <si>
    <t>1 ptg ayam kecil</t>
  </si>
  <si>
    <t>1bh</t>
  </si>
  <si>
    <t>2 bh sedang</t>
  </si>
  <si>
    <t>19 biji</t>
  </si>
  <si>
    <t>4 bh sedang</t>
  </si>
  <si>
    <t>Susu kecil 7</t>
  </si>
  <si>
    <t>7 ktk kecil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</si>
</sst>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p&quot;#,##0;[Red]\-&quot;Rp&quot;#,##0"/>
    <numFmt numFmtId="165" formatCode="0.0"/>
    <numFmt numFmtId="166" formatCode="&quot;Rp&quot;#,##0"/>
    <numFmt numFmtId="167" formatCode="&quot;Rp&quot;* #,###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sz val="11"/>
      <name val="Calibri"/>
    </font>
    <font>
      <b/>
      <sz val="11"/>
      <color theme="1"/>
      <name val="Calibri"/>
    </font>
    <font>
      <sz val="12"/>
      <color theme="1"/>
      <name val="Calibri"/>
    </font>
    <font>
      <sz val="10"/>
      <color theme="1"/>
      <name val="Arial"/>
    </font>
    <font>
      <sz val="11"/>
      <color theme="1"/>
      <name val="Calibri"/>
    </font>
    <font>
      <b/>
      <sz val="12"/>
      <color theme="1"/>
      <name val="Calibri"/>
    </font>
    <font>
      <b/>
      <sz val="20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5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00"/>
      <name val="Calibri"/>
    </font>
    <font>
      <b/>
      <sz val="12"/>
      <color rgb="FF000000"/>
      <name val="Times New Roman"/>
    </font>
    <font>
      <b/>
      <sz val="72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rgb="FFFFFFFF"/>
      <name val="Times New Roman"/>
      <family val="1"/>
    </font>
    <font>
      <b/>
      <sz val="8"/>
      <color theme="1"/>
      <name val="Calibri"/>
      <family val="2"/>
    </font>
    <font>
      <sz val="6"/>
      <color theme="1"/>
      <name val="Arial"/>
      <family val="2"/>
    </font>
    <font>
      <sz val="6"/>
      <color theme="1"/>
      <name val="Times New Roman"/>
      <family val="1"/>
    </font>
    <font>
      <sz val="8"/>
      <name val="Calibri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66FFCC"/>
        <bgColor rgb="FF66FFCC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EEECE1"/>
        <bgColor rgb="FFEEECE1"/>
      </patternFill>
    </fill>
    <fill>
      <patternFill patternType="solid">
        <fgColor rgb="FFFC99FF"/>
        <bgColor rgb="FFFC99FF"/>
      </patternFill>
    </fill>
    <fill>
      <patternFill patternType="solid">
        <fgColor rgb="FFFFAFCC"/>
        <bgColor rgb="FFFFAFCC"/>
      </patternFill>
    </fill>
    <fill>
      <patternFill patternType="solid">
        <fgColor rgb="FFB6DDE8"/>
        <bgColor rgb="FFB6DDE8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2" fillId="0" borderId="57"/>
  </cellStyleXfs>
  <cellXfs count="301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/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wrapText="1"/>
    </xf>
    <xf numFmtId="0" fontId="8" fillId="8" borderId="20" xfId="0" applyFont="1" applyFill="1" applyBorder="1" applyAlignment="1">
      <alignment horizont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11" fillId="10" borderId="4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165" fontId="11" fillId="10" borderId="4" xfId="0" applyNumberFormat="1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3" fillId="0" borderId="4" xfId="0" applyFont="1" applyBorder="1" applyAlignment="1">
      <alignment vertical="center"/>
    </xf>
    <xf numFmtId="2" fontId="13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0" fontId="5" fillId="0" borderId="4" xfId="0" applyFont="1" applyBorder="1"/>
    <xf numFmtId="0" fontId="14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6" borderId="27" xfId="0" applyFont="1" applyFill="1" applyBorder="1"/>
    <xf numFmtId="0" fontId="5" fillId="6" borderId="31" xfId="0" applyFont="1" applyFill="1" applyBorder="1"/>
    <xf numFmtId="165" fontId="13" fillId="0" borderId="1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/>
    <xf numFmtId="165" fontId="7" fillId="0" borderId="0" xfId="0" applyNumberFormat="1" applyFont="1"/>
    <xf numFmtId="0" fontId="8" fillId="11" borderId="27" xfId="0" applyFont="1" applyFill="1" applyBorder="1"/>
    <xf numFmtId="0" fontId="8" fillId="11" borderId="31" xfId="0" applyFont="1" applyFill="1" applyBorder="1"/>
    <xf numFmtId="0" fontId="8" fillId="0" borderId="4" xfId="0" applyFont="1" applyBorder="1"/>
    <xf numFmtId="0" fontId="1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12" borderId="27" xfId="0" applyFont="1" applyFill="1" applyBorder="1"/>
    <xf numFmtId="0" fontId="8" fillId="12" borderId="31" xfId="0" applyFont="1" applyFill="1" applyBorder="1"/>
    <xf numFmtId="165" fontId="8" fillId="12" borderId="31" xfId="0" applyNumberFormat="1" applyFont="1" applyFill="1" applyBorder="1"/>
    <xf numFmtId="0" fontId="11" fillId="13" borderId="27" xfId="0" applyFont="1" applyFill="1" applyBorder="1" applyAlignment="1">
      <alignment vertical="center"/>
    </xf>
    <xf numFmtId="0" fontId="11" fillId="13" borderId="31" xfId="0" applyFont="1" applyFill="1" applyBorder="1" applyAlignment="1">
      <alignment vertical="center"/>
    </xf>
    <xf numFmtId="165" fontId="11" fillId="13" borderId="31" xfId="0" applyNumberFormat="1" applyFont="1" applyFill="1" applyBorder="1" applyAlignment="1">
      <alignment vertical="center"/>
    </xf>
    <xf numFmtId="0" fontId="13" fillId="0" borderId="4" xfId="0" applyFont="1" applyBorder="1" applyAlignment="1">
      <alignment horizontal="center" wrapText="1"/>
    </xf>
    <xf numFmtId="0" fontId="11" fillId="14" borderId="27" xfId="0" applyFont="1" applyFill="1" applyBorder="1" applyAlignment="1">
      <alignment vertical="center"/>
    </xf>
    <xf numFmtId="0" fontId="11" fillId="14" borderId="31" xfId="0" applyFont="1" applyFill="1" applyBorder="1" applyAlignment="1">
      <alignment vertical="center"/>
    </xf>
    <xf numFmtId="165" fontId="5" fillId="0" borderId="4" xfId="0" applyNumberFormat="1" applyFont="1" applyBorder="1" applyAlignment="1">
      <alignment horizontal="center"/>
    </xf>
    <xf numFmtId="0" fontId="5" fillId="15" borderId="4" xfId="0" applyFont="1" applyFill="1" applyBorder="1"/>
    <xf numFmtId="0" fontId="5" fillId="15" borderId="4" xfId="0" applyFont="1" applyFill="1" applyBorder="1" applyAlignment="1">
      <alignment horizontal="center"/>
    </xf>
    <xf numFmtId="3" fontId="13" fillId="15" borderId="4" xfId="0" applyNumberFormat="1" applyFont="1" applyFill="1" applyBorder="1" applyAlignment="1">
      <alignment horizontal="center" vertical="center"/>
    </xf>
    <xf numFmtId="165" fontId="13" fillId="15" borderId="4" xfId="0" applyNumberFormat="1" applyFont="1" applyFill="1" applyBorder="1" applyAlignment="1">
      <alignment horizontal="center" vertical="center"/>
    </xf>
    <xf numFmtId="0" fontId="13" fillId="15" borderId="27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2" fontId="5" fillId="0" borderId="0" xfId="0" applyNumberFormat="1" applyFont="1"/>
    <xf numFmtId="0" fontId="8" fillId="0" borderId="0" xfId="0" applyFont="1" applyAlignment="1">
      <alignment horizontal="center"/>
    </xf>
    <xf numFmtId="0" fontId="11" fillId="16" borderId="39" xfId="0" applyFont="1" applyFill="1" applyBorder="1" applyAlignment="1">
      <alignment horizontal="center" vertical="center"/>
    </xf>
    <xf numFmtId="0" fontId="11" fillId="16" borderId="40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/>
    </xf>
    <xf numFmtId="0" fontId="11" fillId="17" borderId="41" xfId="0" applyFont="1" applyFill="1" applyBorder="1" applyAlignment="1">
      <alignment horizontal="center" vertical="center"/>
    </xf>
    <xf numFmtId="0" fontId="8" fillId="17" borderId="41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5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8" borderId="44" xfId="0" applyFont="1" applyFill="1" applyBorder="1" applyAlignment="1">
      <alignment horizontal="center" wrapText="1"/>
    </xf>
    <xf numFmtId="0" fontId="8" fillId="8" borderId="45" xfId="0" applyFont="1" applyFill="1" applyBorder="1" applyAlignment="1">
      <alignment horizontal="center" wrapText="1"/>
    </xf>
    <xf numFmtId="0" fontId="11" fillId="13" borderId="47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 wrapText="1"/>
    </xf>
    <xf numFmtId="0" fontId="11" fillId="14" borderId="40" xfId="0" applyFont="1" applyFill="1" applyBorder="1" applyAlignment="1">
      <alignment vertical="center"/>
    </xf>
    <xf numFmtId="0" fontId="5" fillId="0" borderId="4" xfId="0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18" fillId="0" borderId="4" xfId="0" applyFon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6" fillId="0" borderId="23" xfId="0" applyFont="1" applyBorder="1" applyAlignment="1">
      <alignment vertical="center" wrapText="1"/>
    </xf>
    <xf numFmtId="0" fontId="5" fillId="0" borderId="48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5" fillId="0" borderId="23" xfId="0" applyFont="1" applyBorder="1" applyAlignment="1">
      <alignment horizontal="left" vertical="center" wrapText="1"/>
    </xf>
    <xf numFmtId="165" fontId="5" fillId="15" borderId="4" xfId="0" applyNumberFormat="1" applyFont="1" applyFill="1" applyBorder="1" applyAlignment="1">
      <alignment horizontal="center"/>
    </xf>
    <xf numFmtId="0" fontId="8" fillId="8" borderId="51" xfId="0" applyFont="1" applyFill="1" applyBorder="1" applyAlignment="1">
      <alignment horizontal="center" wrapText="1"/>
    </xf>
    <xf numFmtId="165" fontId="13" fillId="0" borderId="3" xfId="0" applyNumberFormat="1" applyFont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/>
    </xf>
    <xf numFmtId="1" fontId="13" fillId="0" borderId="4" xfId="0" applyNumberFormat="1" applyFont="1" applyBorder="1" applyAlignment="1">
      <alignment horizontal="center" vertical="center"/>
    </xf>
    <xf numFmtId="0" fontId="3" fillId="0" borderId="57" xfId="0" applyFont="1" applyBorder="1"/>
    <xf numFmtId="0" fontId="3" fillId="0" borderId="36" xfId="0" applyFont="1" applyBorder="1"/>
    <xf numFmtId="0" fontId="5" fillId="6" borderId="32" xfId="0" applyFont="1" applyFill="1" applyBorder="1"/>
    <xf numFmtId="0" fontId="3" fillId="0" borderId="33" xfId="0" applyFont="1" applyBorder="1"/>
    <xf numFmtId="0" fontId="3" fillId="0" borderId="34" xfId="0" applyFont="1" applyBorder="1"/>
    <xf numFmtId="0" fontId="3" fillId="0" borderId="33" xfId="0" applyFont="1" applyBorder="1" applyAlignment="1">
      <alignment horizontal="center"/>
    </xf>
    <xf numFmtId="0" fontId="8" fillId="11" borderId="35" xfId="0" applyFont="1" applyFill="1" applyBorder="1"/>
    <xf numFmtId="0" fontId="8" fillId="12" borderId="38" xfId="0" applyFont="1" applyFill="1" applyBorder="1"/>
    <xf numFmtId="0" fontId="11" fillId="13" borderId="38" xfId="0" applyFont="1" applyFill="1" applyBorder="1" applyAlignment="1">
      <alignment vertical="center"/>
    </xf>
    <xf numFmtId="0" fontId="11" fillId="14" borderId="38" xfId="0" applyFont="1" applyFill="1" applyBorder="1" applyAlignment="1">
      <alignment vertical="center"/>
    </xf>
    <xf numFmtId="166" fontId="0" fillId="0" borderId="0" xfId="0" applyNumberFormat="1"/>
    <xf numFmtId="166" fontId="5" fillId="0" borderId="4" xfId="0" applyNumberFormat="1" applyFont="1" applyBorder="1"/>
    <xf numFmtId="166" fontId="7" fillId="0" borderId="4" xfId="0" applyNumberFormat="1" applyFont="1" applyBorder="1"/>
    <xf numFmtId="166" fontId="3" fillId="0" borderId="36" xfId="0" applyNumberFormat="1" applyFont="1" applyBorder="1"/>
    <xf numFmtId="166" fontId="3" fillId="0" borderId="2" xfId="0" applyNumberFormat="1" applyFont="1" applyBorder="1"/>
    <xf numFmtId="166" fontId="3" fillId="0" borderId="3" xfId="0" applyNumberFormat="1" applyFont="1" applyBorder="1"/>
    <xf numFmtId="0" fontId="5" fillId="6" borderId="38" xfId="0" applyFont="1" applyFill="1" applyBorder="1"/>
    <xf numFmtId="0" fontId="8" fillId="11" borderId="38" xfId="0" applyFont="1" applyFill="1" applyBorder="1"/>
    <xf numFmtId="2" fontId="0" fillId="0" borderId="0" xfId="0" applyNumberFormat="1"/>
    <xf numFmtId="166" fontId="18" fillId="0" borderId="4" xfId="0" applyNumberFormat="1" applyFont="1" applyBorder="1"/>
    <xf numFmtId="166" fontId="13" fillId="0" borderId="4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13" fillId="0" borderId="57" xfId="0" applyFont="1" applyBorder="1" applyAlignment="1">
      <alignment horizontal="center" vertical="center"/>
    </xf>
    <xf numFmtId="166" fontId="13" fillId="0" borderId="57" xfId="0" applyNumberFormat="1" applyFont="1" applyBorder="1" applyAlignment="1">
      <alignment horizontal="center" vertical="center"/>
    </xf>
    <xf numFmtId="0" fontId="0" fillId="20" borderId="59" xfId="0" applyFill="1" applyBorder="1"/>
    <xf numFmtId="0" fontId="23" fillId="21" borderId="59" xfId="0" applyFont="1" applyFill="1" applyBorder="1" applyAlignment="1">
      <alignment horizontal="left" vertical="center"/>
    </xf>
    <xf numFmtId="0" fontId="23" fillId="21" borderId="59" xfId="0" applyFont="1" applyFill="1" applyBorder="1" applyAlignment="1">
      <alignment horizontal="center" vertical="center"/>
    </xf>
    <xf numFmtId="14" fontId="0" fillId="0" borderId="59" xfId="0" applyNumberFormat="1" applyBorder="1"/>
    <xf numFmtId="166" fontId="0" fillId="0" borderId="59" xfId="0" applyNumberFormat="1" applyBorder="1"/>
    <xf numFmtId="0" fontId="23" fillId="0" borderId="59" xfId="0" applyFont="1" applyBorder="1" applyAlignment="1">
      <alignment horizontal="left" vertical="center"/>
    </xf>
    <xf numFmtId="0" fontId="23" fillId="0" borderId="59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center" vertical="center"/>
    </xf>
    <xf numFmtId="167" fontId="23" fillId="0" borderId="59" xfId="0" applyNumberFormat="1" applyFont="1" applyBorder="1" applyAlignment="1">
      <alignment horizontal="left" vertical="center"/>
    </xf>
    <xf numFmtId="0" fontId="23" fillId="21" borderId="60" xfId="0" applyFont="1" applyFill="1" applyBorder="1" applyAlignment="1">
      <alignment horizontal="left" vertical="center"/>
    </xf>
    <xf numFmtId="0" fontId="23" fillId="21" borderId="61" xfId="0" applyFont="1" applyFill="1" applyBorder="1" applyAlignment="1">
      <alignment horizontal="center" vertical="center"/>
    </xf>
    <xf numFmtId="0" fontId="23" fillId="21" borderId="61" xfId="0" applyFont="1" applyFill="1" applyBorder="1" applyAlignment="1">
      <alignment horizontal="left" vertical="center"/>
    </xf>
    <xf numFmtId="167" fontId="23" fillId="22" borderId="62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7" fontId="23" fillId="0" borderId="0" xfId="0" applyNumberFormat="1" applyFont="1" applyAlignment="1">
      <alignment horizontal="left" vertical="center"/>
    </xf>
    <xf numFmtId="0" fontId="19" fillId="0" borderId="59" xfId="0" applyFont="1" applyBorder="1"/>
    <xf numFmtId="166" fontId="0" fillId="22" borderId="59" xfId="0" applyNumberFormat="1" applyFill="1" applyBorder="1"/>
    <xf numFmtId="166" fontId="0" fillId="23" borderId="0" xfId="0" applyNumberFormat="1" applyFill="1"/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20" borderId="59" xfId="0" applyFont="1" applyFill="1" applyBorder="1" applyAlignment="1">
      <alignment horizontal="center"/>
    </xf>
    <xf numFmtId="0" fontId="23" fillId="0" borderId="0" xfId="0" applyFont="1" applyAlignment="1">
      <alignment vertical="center" wrapText="1"/>
    </xf>
    <xf numFmtId="164" fontId="23" fillId="0" borderId="0" xfId="0" applyNumberFormat="1" applyFont="1" applyAlignment="1">
      <alignment vertical="center" wrapText="1"/>
    </xf>
    <xf numFmtId="0" fontId="20" fillId="0" borderId="59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164" fontId="25" fillId="0" borderId="0" xfId="0" applyNumberFormat="1" applyFont="1" applyAlignment="1">
      <alignment vertical="center" wrapText="1"/>
    </xf>
    <xf numFmtId="14" fontId="0" fillId="0" borderId="59" xfId="0" applyNumberFormat="1" applyBorder="1" applyAlignment="1">
      <alignment vertical="top"/>
    </xf>
    <xf numFmtId="0" fontId="20" fillId="22" borderId="59" xfId="0" applyFont="1" applyFill="1" applyBorder="1" applyAlignment="1">
      <alignment vertical="top"/>
    </xf>
    <xf numFmtId="3" fontId="28" fillId="0" borderId="0" xfId="0" applyNumberFormat="1" applyFont="1" applyAlignment="1">
      <alignment horizontal="center" vertical="center" wrapText="1"/>
    </xf>
    <xf numFmtId="3" fontId="0" fillId="0" borderId="0" xfId="0" applyNumberFormat="1"/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4" fillId="17" borderId="41" xfId="0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0" fontId="31" fillId="0" borderId="59" xfId="0" applyFont="1" applyBorder="1" applyAlignment="1">
      <alignment horizontal="center" wrapText="1"/>
    </xf>
    <xf numFmtId="0" fontId="32" fillId="0" borderId="59" xfId="0" applyFont="1" applyBorder="1" applyAlignment="1">
      <alignment horizontal="center" wrapText="1"/>
    </xf>
    <xf numFmtId="0" fontId="31" fillId="0" borderId="30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33" fillId="0" borderId="59" xfId="1" applyFont="1" applyBorder="1" applyAlignment="1">
      <alignment horizontal="center"/>
    </xf>
    <xf numFmtId="0" fontId="32" fillId="0" borderId="59" xfId="1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32" fillId="0" borderId="62" xfId="1" applyBorder="1" applyAlignment="1">
      <alignment horizontal="center" vertical="center"/>
    </xf>
    <xf numFmtId="0" fontId="31" fillId="0" borderId="59" xfId="1" applyFont="1" applyBorder="1" applyAlignment="1">
      <alignment horizontal="center" vertical="center"/>
    </xf>
    <xf numFmtId="165" fontId="32" fillId="0" borderId="59" xfId="1" applyNumberFormat="1" applyBorder="1" applyAlignment="1">
      <alignment horizontal="center" vertical="center"/>
    </xf>
    <xf numFmtId="0" fontId="32" fillId="0" borderId="59" xfId="1" applyBorder="1" applyAlignment="1">
      <alignment horizontal="center" vertical="center"/>
    </xf>
    <xf numFmtId="0" fontId="33" fillId="0" borderId="59" xfId="1" applyFont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0" xfId="0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/>
    <xf numFmtId="0" fontId="21" fillId="0" borderId="4" xfId="0" applyFont="1" applyBorder="1" applyAlignment="1">
      <alignment horizontal="center" vertical="center"/>
    </xf>
    <xf numFmtId="165" fontId="31" fillId="0" borderId="59" xfId="1" applyNumberFormat="1" applyFont="1" applyBorder="1" applyAlignment="1">
      <alignment horizontal="center" vertical="center"/>
    </xf>
    <xf numFmtId="165" fontId="32" fillId="0" borderId="59" xfId="1" applyNumberFormat="1" applyBorder="1" applyAlignment="1">
      <alignment horizontal="center"/>
    </xf>
    <xf numFmtId="0" fontId="34" fillId="0" borderId="62" xfId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0" borderId="0" xfId="0"/>
    <xf numFmtId="0" fontId="5" fillId="0" borderId="41" xfId="0" applyFont="1" applyBorder="1" applyAlignment="1">
      <alignment horizontal="center" vertical="center" wrapText="1"/>
    </xf>
    <xf numFmtId="0" fontId="7" fillId="0" borderId="59" xfId="0" applyFont="1" applyBorder="1"/>
    <xf numFmtId="0" fontId="5" fillId="0" borderId="59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vertical="center"/>
    </xf>
    <xf numFmtId="0" fontId="11" fillId="14" borderId="46" xfId="0" applyFont="1" applyFill="1" applyBorder="1" applyAlignment="1">
      <alignment vertical="center"/>
    </xf>
    <xf numFmtId="0" fontId="11" fillId="14" borderId="55" xfId="0" applyFont="1" applyFill="1" applyBorder="1" applyAlignment="1">
      <alignment vertical="center"/>
    </xf>
    <xf numFmtId="0" fontId="5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left" vertical="center" wrapText="1"/>
    </xf>
    <xf numFmtId="166" fontId="7" fillId="0" borderId="3" xfId="0" applyNumberFormat="1" applyFont="1" applyBorder="1"/>
    <xf numFmtId="166" fontId="3" fillId="0" borderId="47" xfId="0" applyNumberFormat="1" applyFont="1" applyBorder="1"/>
    <xf numFmtId="0" fontId="5" fillId="0" borderId="63" xfId="0" applyFont="1" applyBorder="1" applyAlignment="1">
      <alignment horizontal="center"/>
    </xf>
    <xf numFmtId="0" fontId="5" fillId="0" borderId="63" xfId="0" applyFont="1" applyBorder="1" applyAlignment="1">
      <alignment horizontal="left" vertical="center" wrapText="1"/>
    </xf>
    <xf numFmtId="165" fontId="13" fillId="0" borderId="37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3" fontId="13" fillId="0" borderId="30" xfId="0" applyNumberFormat="1" applyFont="1" applyBorder="1" applyAlignment="1">
      <alignment horizontal="center" vertical="center"/>
    </xf>
    <xf numFmtId="165" fontId="13" fillId="0" borderId="30" xfId="0" applyNumberFormat="1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166" fontId="5" fillId="0" borderId="30" xfId="0" applyNumberFormat="1" applyFont="1" applyBorder="1"/>
    <xf numFmtId="3" fontId="31" fillId="0" borderId="59" xfId="0" applyNumberFormat="1" applyFont="1" applyBorder="1" applyAlignment="1">
      <alignment horizontal="center" vertical="center"/>
    </xf>
    <xf numFmtId="165" fontId="31" fillId="0" borderId="59" xfId="0" applyNumberFormat="1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31" fillId="13" borderId="59" xfId="0" applyFont="1" applyFill="1" applyBorder="1" applyAlignment="1">
      <alignment horizontal="center" vertical="center"/>
    </xf>
    <xf numFmtId="166" fontId="35" fillId="0" borderId="59" xfId="0" applyNumberFormat="1" applyFont="1" applyBorder="1" applyAlignment="1">
      <alignment horizontal="center"/>
    </xf>
    <xf numFmtId="0" fontId="31" fillId="13" borderId="59" xfId="0" applyFont="1" applyFill="1" applyBorder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0" fontId="0" fillId="0" borderId="0" xfId="0"/>
    <xf numFmtId="0" fontId="21" fillId="0" borderId="4" xfId="0" applyFont="1" applyBorder="1" applyAlignment="1">
      <alignment horizontal="left" wrapText="1"/>
    </xf>
    <xf numFmtId="0" fontId="21" fillId="0" borderId="29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165" fontId="31" fillId="0" borderId="64" xfId="1" applyNumberFormat="1" applyFont="1" applyBorder="1" applyAlignment="1">
      <alignment horizontal="center" vertical="center"/>
    </xf>
    <xf numFmtId="0" fontId="32" fillId="0" borderId="64" xfId="1" applyBorder="1" applyAlignment="1">
      <alignment horizontal="center"/>
    </xf>
    <xf numFmtId="0" fontId="34" fillId="0" borderId="65" xfId="1" applyFont="1" applyBorder="1" applyAlignment="1">
      <alignment horizontal="center"/>
    </xf>
    <xf numFmtId="0" fontId="32" fillId="0" borderId="63" xfId="0" applyFont="1" applyBorder="1" applyAlignment="1">
      <alignment horizontal="center" wrapText="1"/>
    </xf>
    <xf numFmtId="0" fontId="31" fillId="0" borderId="63" xfId="0" applyFont="1" applyBorder="1" applyAlignment="1">
      <alignment horizontal="center" wrapText="1"/>
    </xf>
    <xf numFmtId="0" fontId="7" fillId="0" borderId="59" xfId="0" applyFont="1" applyBorder="1" applyAlignment="1">
      <alignment horizontal="center"/>
    </xf>
    <xf numFmtId="0" fontId="13" fillId="0" borderId="59" xfId="0" applyFont="1" applyBorder="1" applyAlignment="1">
      <alignment horizontal="center" wrapText="1"/>
    </xf>
    <xf numFmtId="0" fontId="13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21" fillId="0" borderId="57" xfId="0" applyFont="1" applyBorder="1" applyAlignment="1">
      <alignment horizontal="center" vertical="center" wrapText="1"/>
    </xf>
    <xf numFmtId="0" fontId="32" fillId="0" borderId="62" xfId="1" applyFill="1" applyBorder="1" applyAlignment="1">
      <alignment horizontal="center" vertical="center"/>
    </xf>
    <xf numFmtId="0" fontId="1" fillId="0" borderId="59" xfId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8" fillId="6" borderId="1" xfId="0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horizontal="left" vertical="center"/>
    </xf>
    <xf numFmtId="0" fontId="3" fillId="0" borderId="25" xfId="0" applyFont="1" applyBorder="1"/>
    <xf numFmtId="3" fontId="13" fillId="0" borderId="28" xfId="0" applyNumberFormat="1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165" fontId="13" fillId="0" borderId="28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21" xfId="0" applyFont="1" applyBorder="1"/>
    <xf numFmtId="0" fontId="3" fillId="0" borderId="10" xfId="0" applyFont="1" applyBorder="1"/>
    <xf numFmtId="0" fontId="13" fillId="0" borderId="1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11" xfId="0" applyFont="1" applyBorder="1"/>
    <xf numFmtId="14" fontId="10" fillId="7" borderId="5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0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4" xfId="0" applyFont="1" applyBorder="1"/>
    <xf numFmtId="0" fontId="3" fillId="0" borderId="15" xfId="0" applyFont="1" applyBorder="1"/>
    <xf numFmtId="0" fontId="11" fillId="8" borderId="16" xfId="0" applyFont="1" applyFill="1" applyBorder="1" applyAlignment="1">
      <alignment horizontal="center" wrapText="1"/>
    </xf>
    <xf numFmtId="0" fontId="3" fillId="0" borderId="17" xfId="0" applyFont="1" applyBorder="1"/>
    <xf numFmtId="0" fontId="12" fillId="9" borderId="5" xfId="0" applyFont="1" applyFill="1" applyBorder="1" applyAlignment="1">
      <alignment horizontal="center" vertical="center"/>
    </xf>
    <xf numFmtId="0" fontId="3" fillId="0" borderId="18" xfId="0" applyFont="1" applyBorder="1"/>
    <xf numFmtId="0" fontId="0" fillId="0" borderId="0" xfId="0"/>
    <xf numFmtId="0" fontId="3" fillId="0" borderId="22" xfId="0" applyFont="1" applyBorder="1"/>
    <xf numFmtId="0" fontId="16" fillId="0" borderId="1" xfId="0" applyFont="1" applyBorder="1" applyAlignment="1">
      <alignment horizontal="center"/>
    </xf>
    <xf numFmtId="0" fontId="3" fillId="0" borderId="42" xfId="0" applyFont="1" applyBorder="1"/>
    <xf numFmtId="0" fontId="3" fillId="0" borderId="43" xfId="0" applyFont="1" applyBorder="1"/>
    <xf numFmtId="0" fontId="17" fillId="9" borderId="5" xfId="0" applyFont="1" applyFill="1" applyBorder="1" applyAlignment="1">
      <alignment horizontal="center" vertical="center"/>
    </xf>
    <xf numFmtId="0" fontId="11" fillId="10" borderId="46" xfId="0" applyFont="1" applyFill="1" applyBorder="1" applyAlignment="1">
      <alignment horizontal="left" vertical="center"/>
    </xf>
    <xf numFmtId="0" fontId="3" fillId="0" borderId="37" xfId="0" applyFont="1" applyBorder="1"/>
    <xf numFmtId="0" fontId="11" fillId="10" borderId="1" xfId="0" applyFont="1" applyFill="1" applyBorder="1" applyAlignment="1">
      <alignment horizontal="left" vertical="center"/>
    </xf>
    <xf numFmtId="0" fontId="3" fillId="0" borderId="49" xfId="0" applyFont="1" applyBorder="1"/>
    <xf numFmtId="0" fontId="17" fillId="9" borderId="50" xfId="0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0" fontId="11" fillId="16" borderId="46" xfId="0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55" xfId="0" applyFont="1" applyBorder="1"/>
    <xf numFmtId="0" fontId="11" fillId="18" borderId="56" xfId="0" applyFont="1" applyFill="1" applyBorder="1" applyAlignment="1">
      <alignment horizontal="center" vertical="center"/>
    </xf>
    <xf numFmtId="0" fontId="3" fillId="0" borderId="57" xfId="0" applyFont="1" applyBorder="1"/>
    <xf numFmtId="3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5" fontId="28" fillId="0" borderId="0" xfId="0" applyNumberFormat="1" applyFont="1" applyAlignment="1">
      <alignment horizontal="left" vertical="center" wrapText="1" indent="2"/>
    </xf>
    <xf numFmtId="0" fontId="28" fillId="0" borderId="0" xfId="0" applyFont="1" applyAlignment="1">
      <alignment horizontal="left" vertical="center" wrapText="1" indent="1"/>
    </xf>
    <xf numFmtId="0" fontId="28" fillId="0" borderId="0" xfId="0" applyFont="1" applyAlignment="1">
      <alignment vertical="center" wrapText="1"/>
    </xf>
    <xf numFmtId="0" fontId="22" fillId="19" borderId="0" xfId="0" applyFont="1" applyFill="1" applyAlignment="1">
      <alignment horizontal="center" wrapText="1"/>
    </xf>
    <xf numFmtId="0" fontId="22" fillId="19" borderId="0" xfId="0" applyFont="1" applyFill="1" applyAlignment="1">
      <alignment horizontal="center"/>
    </xf>
    <xf numFmtId="0" fontId="19" fillId="0" borderId="58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24" fillId="20" borderId="59" xfId="0" applyFont="1" applyFill="1" applyBorder="1" applyAlignment="1">
      <alignment horizontal="center"/>
    </xf>
    <xf numFmtId="0" fontId="24" fillId="0" borderId="59" xfId="0" applyFont="1" applyBorder="1" applyAlignment="1">
      <alignment horizontal="center" vertical="top"/>
    </xf>
    <xf numFmtId="0" fontId="29" fillId="0" borderId="0" xfId="0" applyFont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da Salsabila" id="{E9ED37C7-FC12-42AA-A8C3-0B956E8C8E30}" userId="" providerId="google-sheets"/>
  <person displayName="Cahya Ramadhanti Putri Rachman" id="{B69FC4C5-7A52-4FCC-8DAB-D39A9704C29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" dT="2026-03-05T15:28:20.00" personId="{B69FC4C5-7A52-4FCC-8DAB-D39A9704C29A}" id="{F4F86296-7F43-4706-8290-C7AB8D67051E}" done="1">
    <text>ini revisi jd 1, apa emang mau dikasi 2?</text>
  </threadedComment>
  <threadedComment ref="C22" dT="2026-03-05T15:39:58.00" personId="{E9ED37C7-FC12-42AA-A8C3-0B956E8C8E30}" id="{7FE8CF7C-C4FB-4EF5-8901-B1F4F07ABD51}" parentId="{F4F86296-7F43-4706-8290-C7AB8D67051E}">
    <text>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8" dT="2026-03-05T15:32:51.00" personId="{B69FC4C5-7A52-4FCC-8DAB-D39A9704C29A}" id="{0E8EFD9F-9C15-4BFF-A383-D68CD5924D4C}" done="1">
    <text>kasih 1 sdm aja jatahnya buat 1 anak</text>
  </threadedComment>
  <threadedComment ref="C28" dT="2026-03-05T15:33:44.00" personId="{E9ED37C7-FC12-42AA-A8C3-0B956E8C8E30}" id="{A299B050-925C-45C0-AF1E-0AD4D664F5C6}" parentId="{0E8EFD9F-9C15-4BFF-A383-D68CD5924D4C}">
    <text>ohh oke kak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1000"/>
  <sheetViews>
    <sheetView topLeftCell="A6" zoomScale="58" workbookViewId="0">
      <selection activeCell="L36" sqref="L36"/>
    </sheetView>
  </sheetViews>
  <sheetFormatPr defaultColWidth="14.42578125" defaultRowHeight="15" customHeight="1"/>
  <cols>
    <col min="1" max="2" width="25.140625" customWidth="1"/>
    <col min="3" max="3" width="28" customWidth="1"/>
    <col min="4" max="4" width="20.5703125" customWidth="1"/>
    <col min="5" max="6" width="22.28515625" customWidth="1"/>
    <col min="7" max="7" width="18.7109375" customWidth="1"/>
    <col min="8" max="8" width="18.42578125" customWidth="1"/>
    <col min="9" max="9" width="18.7109375" customWidth="1"/>
    <col min="10" max="10" width="18.42578125" customWidth="1"/>
    <col min="11" max="11" width="18.7109375" customWidth="1"/>
    <col min="12" max="12" width="18.42578125" customWidth="1"/>
  </cols>
  <sheetData>
    <row r="1" spans="1:8">
      <c r="A1" s="243" t="s">
        <v>0</v>
      </c>
      <c r="B1" s="239"/>
      <c r="C1" s="239"/>
      <c r="D1" s="239"/>
      <c r="E1" s="239"/>
      <c r="F1" s="239"/>
      <c r="G1" s="239"/>
      <c r="H1" s="240"/>
    </row>
    <row r="2" spans="1:8">
      <c r="A2" s="242" t="s">
        <v>1</v>
      </c>
      <c r="B2" s="240"/>
      <c r="C2" s="244" t="s">
        <v>2</v>
      </c>
      <c r="D2" s="240"/>
      <c r="E2" s="244" t="s">
        <v>3</v>
      </c>
      <c r="F2" s="240"/>
      <c r="G2" s="244" t="s">
        <v>4</v>
      </c>
      <c r="H2" s="240"/>
    </row>
    <row r="3" spans="1:8">
      <c r="A3" s="1" t="s">
        <v>5</v>
      </c>
      <c r="B3" s="1" t="s">
        <v>6</v>
      </c>
      <c r="C3" s="1" t="s">
        <v>5</v>
      </c>
      <c r="D3" s="1" t="s">
        <v>6</v>
      </c>
      <c r="E3" s="1" t="s">
        <v>5</v>
      </c>
      <c r="F3" s="1" t="s">
        <v>6</v>
      </c>
      <c r="G3" s="1" t="s">
        <v>5</v>
      </c>
      <c r="H3" s="1" t="s">
        <v>6</v>
      </c>
    </row>
    <row r="4" spans="1:8" ht="31.5">
      <c r="A4" s="2" t="s">
        <v>7</v>
      </c>
      <c r="B4" s="2" t="s">
        <v>7</v>
      </c>
      <c r="C4" s="2" t="s">
        <v>8</v>
      </c>
      <c r="D4" s="2" t="s">
        <v>9</v>
      </c>
      <c r="E4" s="2" t="s">
        <v>68</v>
      </c>
      <c r="F4" s="2" t="s">
        <v>10</v>
      </c>
      <c r="G4" s="2" t="s">
        <v>11</v>
      </c>
      <c r="H4" s="2" t="s">
        <v>11</v>
      </c>
    </row>
    <row r="5" spans="1:8" ht="31.5">
      <c r="A5" s="2" t="s">
        <v>12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15</v>
      </c>
      <c r="G5" s="2" t="s">
        <v>16</v>
      </c>
      <c r="H5" s="2" t="s">
        <v>16</v>
      </c>
    </row>
    <row r="6" spans="1:8" ht="31.5">
      <c r="A6" s="2" t="s">
        <v>17</v>
      </c>
      <c r="B6" s="2" t="s">
        <v>18</v>
      </c>
      <c r="C6" s="2" t="s">
        <v>19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ht="31.5">
      <c r="A7" s="2" t="s">
        <v>24</v>
      </c>
      <c r="B7" s="2" t="s">
        <v>24</v>
      </c>
      <c r="C7" s="3" t="s">
        <v>25</v>
      </c>
      <c r="D7" s="3" t="s">
        <v>25</v>
      </c>
      <c r="E7" s="2" t="s">
        <v>26</v>
      </c>
      <c r="F7" s="2" t="s">
        <v>26</v>
      </c>
      <c r="G7" s="2" t="s">
        <v>27</v>
      </c>
      <c r="H7" s="2" t="s">
        <v>27</v>
      </c>
    </row>
    <row r="8" spans="1:8" ht="15.75">
      <c r="A8" s="2" t="s">
        <v>28</v>
      </c>
      <c r="B8" s="2" t="s">
        <v>29</v>
      </c>
      <c r="C8" s="3" t="s">
        <v>30</v>
      </c>
      <c r="D8" s="3" t="s">
        <v>30</v>
      </c>
      <c r="E8" s="2" t="s">
        <v>28</v>
      </c>
      <c r="F8" s="2" t="s">
        <v>28</v>
      </c>
      <c r="G8" s="2" t="s">
        <v>26</v>
      </c>
      <c r="H8" s="2" t="s">
        <v>26</v>
      </c>
    </row>
    <row r="9" spans="1:8" ht="15.75">
      <c r="A9" s="2" t="s">
        <v>31</v>
      </c>
      <c r="B9" s="2" t="s">
        <v>31</v>
      </c>
      <c r="C9" s="3" t="s">
        <v>32</v>
      </c>
      <c r="D9" s="3" t="s">
        <v>33</v>
      </c>
      <c r="E9" s="2" t="s">
        <v>31</v>
      </c>
      <c r="F9" s="2" t="s">
        <v>34</v>
      </c>
      <c r="G9" s="2" t="s">
        <v>32</v>
      </c>
      <c r="H9" s="2" t="s">
        <v>35</v>
      </c>
    </row>
    <row r="10" spans="1:8" ht="15.75">
      <c r="A10" s="2" t="s">
        <v>36</v>
      </c>
      <c r="B10" s="2" t="s">
        <v>37</v>
      </c>
      <c r="C10" s="3" t="s">
        <v>38</v>
      </c>
      <c r="D10" s="3" t="s">
        <v>38</v>
      </c>
      <c r="E10" s="2" t="s">
        <v>39</v>
      </c>
      <c r="F10" s="2" t="s">
        <v>31</v>
      </c>
      <c r="G10" s="2" t="s">
        <v>40</v>
      </c>
      <c r="H10" s="2" t="s">
        <v>41</v>
      </c>
    </row>
    <row r="11" spans="1:8" ht="15.75">
      <c r="A11" s="4" t="s">
        <v>40</v>
      </c>
      <c r="B11" s="2" t="s">
        <v>40</v>
      </c>
      <c r="C11" s="3" t="s">
        <v>42</v>
      </c>
      <c r="D11" s="3" t="s">
        <v>42</v>
      </c>
      <c r="E11" s="2"/>
      <c r="F11" s="2" t="s">
        <v>36</v>
      </c>
      <c r="G11" s="2" t="s">
        <v>43</v>
      </c>
      <c r="H11" s="2" t="s">
        <v>43</v>
      </c>
    </row>
    <row r="12" spans="1:8" ht="15.75">
      <c r="A12" s="4"/>
      <c r="B12" s="4"/>
      <c r="C12" s="3"/>
      <c r="D12" s="3" t="s">
        <v>44</v>
      </c>
      <c r="E12" s="4"/>
      <c r="F12" s="2"/>
      <c r="G12" s="2" t="s">
        <v>42</v>
      </c>
      <c r="H12" s="2" t="s">
        <v>42</v>
      </c>
    </row>
    <row r="13" spans="1:8" ht="15.75">
      <c r="A13" s="5"/>
      <c r="B13" s="5"/>
      <c r="C13" s="5"/>
      <c r="D13" s="3"/>
      <c r="E13" s="5"/>
      <c r="F13" s="5"/>
      <c r="G13" s="4"/>
      <c r="H13" s="2" t="s">
        <v>45</v>
      </c>
    </row>
    <row r="15" spans="1:8">
      <c r="B15" s="6" t="s">
        <v>46</v>
      </c>
    </row>
    <row r="17" spans="1:12" ht="15" customHeight="1">
      <c r="A17" s="243" t="s">
        <v>0</v>
      </c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40"/>
    </row>
    <row r="18" spans="1:12" ht="15" customHeight="1">
      <c r="A18" s="242" t="s">
        <v>47</v>
      </c>
      <c r="B18" s="240"/>
      <c r="C18" s="242" t="s">
        <v>48</v>
      </c>
      <c r="D18" s="240"/>
      <c r="E18" s="242" t="s">
        <v>49</v>
      </c>
      <c r="F18" s="240"/>
      <c r="G18" s="242" t="s">
        <v>50</v>
      </c>
      <c r="H18" s="240"/>
      <c r="I18" s="242" t="s">
        <v>51</v>
      </c>
      <c r="J18" s="240"/>
      <c r="K18" s="242" t="s">
        <v>52</v>
      </c>
      <c r="L18" s="240"/>
    </row>
    <row r="19" spans="1:12" ht="15" customHeight="1">
      <c r="A19" s="1" t="s">
        <v>5</v>
      </c>
      <c r="B19" s="1" t="s">
        <v>6</v>
      </c>
      <c r="C19" s="1" t="s">
        <v>5</v>
      </c>
      <c r="D19" s="1" t="s">
        <v>6</v>
      </c>
      <c r="E19" s="1" t="s">
        <v>5</v>
      </c>
      <c r="F19" s="1" t="s">
        <v>6</v>
      </c>
      <c r="G19" s="1" t="s">
        <v>5</v>
      </c>
      <c r="H19" s="1" t="s">
        <v>6</v>
      </c>
      <c r="I19" s="1" t="s">
        <v>5</v>
      </c>
      <c r="J19" s="1" t="s">
        <v>6</v>
      </c>
      <c r="K19" s="1" t="s">
        <v>5</v>
      </c>
      <c r="L19" s="1" t="s">
        <v>6</v>
      </c>
    </row>
    <row r="20" spans="1:12" ht="15" customHeight="1">
      <c r="A20" s="2" t="s">
        <v>53</v>
      </c>
      <c r="B20" s="2" t="s">
        <v>53</v>
      </c>
      <c r="C20" s="2" t="s">
        <v>217</v>
      </c>
      <c r="D20" s="2" t="s">
        <v>218</v>
      </c>
      <c r="E20" s="2" t="s">
        <v>54</v>
      </c>
      <c r="F20" s="2" t="s">
        <v>54</v>
      </c>
      <c r="G20" s="2" t="s">
        <v>22</v>
      </c>
      <c r="H20" s="2" t="s">
        <v>22</v>
      </c>
      <c r="I20" s="2" t="s">
        <v>210</v>
      </c>
      <c r="J20" s="2" t="s">
        <v>210</v>
      </c>
      <c r="K20" s="2" t="s">
        <v>215</v>
      </c>
      <c r="L20" s="2" t="s">
        <v>215</v>
      </c>
    </row>
    <row r="21" spans="1:12" ht="15.75" customHeight="1">
      <c r="A21" s="2" t="s">
        <v>55</v>
      </c>
      <c r="B21" s="2" t="s">
        <v>55</v>
      </c>
      <c r="C21" s="2" t="s">
        <v>216</v>
      </c>
      <c r="D21" s="2" t="s">
        <v>216</v>
      </c>
      <c r="E21" s="2" t="s">
        <v>211</v>
      </c>
      <c r="F21" s="2" t="s">
        <v>211</v>
      </c>
      <c r="G21" s="2" t="s">
        <v>216</v>
      </c>
      <c r="H21" s="2" t="s">
        <v>216</v>
      </c>
      <c r="I21" s="2" t="s">
        <v>56</v>
      </c>
      <c r="J21" s="2" t="s">
        <v>56</v>
      </c>
      <c r="K21" s="2" t="s">
        <v>57</v>
      </c>
      <c r="L21" s="2" t="s">
        <v>57</v>
      </c>
    </row>
    <row r="22" spans="1:12" ht="15.75" customHeight="1">
      <c r="A22" s="2" t="s">
        <v>59</v>
      </c>
      <c r="B22" s="2" t="s">
        <v>59</v>
      </c>
      <c r="C22" s="2" t="s">
        <v>220</v>
      </c>
      <c r="D22" s="2" t="s">
        <v>220</v>
      </c>
      <c r="E22" s="3" t="s">
        <v>57</v>
      </c>
      <c r="F22" s="3" t="s">
        <v>57</v>
      </c>
      <c r="G22" s="2" t="s">
        <v>223</v>
      </c>
      <c r="H22" s="2" t="s">
        <v>223</v>
      </c>
      <c r="I22" s="2" t="s">
        <v>236</v>
      </c>
      <c r="J22" s="2" t="s">
        <v>236</v>
      </c>
      <c r="K22" s="2" t="s">
        <v>58</v>
      </c>
      <c r="L22" s="2" t="s">
        <v>58</v>
      </c>
    </row>
    <row r="23" spans="1:12" ht="15.75" customHeight="1">
      <c r="A23" s="2"/>
      <c r="B23" s="2" t="s">
        <v>60</v>
      </c>
      <c r="C23" s="2"/>
      <c r="D23" s="2" t="s">
        <v>222</v>
      </c>
      <c r="E23" s="3"/>
      <c r="F23" s="3" t="s">
        <v>60</v>
      </c>
      <c r="G23" s="2"/>
      <c r="H23" s="2" t="s">
        <v>224</v>
      </c>
      <c r="I23" s="2"/>
      <c r="J23" s="2" t="s">
        <v>61</v>
      </c>
      <c r="K23" s="2"/>
      <c r="L23" s="2" t="s">
        <v>61</v>
      </c>
    </row>
    <row r="24" spans="1:12" ht="15.75" customHeight="1">
      <c r="A24" s="2"/>
      <c r="B24" s="2"/>
      <c r="C24" s="2"/>
      <c r="D24" s="2"/>
      <c r="E24" s="3"/>
      <c r="F24" s="3"/>
      <c r="G24" s="2"/>
      <c r="H24" s="2"/>
      <c r="I24" s="2"/>
      <c r="J24" s="2"/>
      <c r="K24" s="2"/>
      <c r="L24" s="2"/>
    </row>
    <row r="25" spans="1:12" ht="15.75" customHeight="1">
      <c r="A25" s="2"/>
      <c r="B25" s="2"/>
      <c r="C25" s="3"/>
      <c r="D25" s="3"/>
      <c r="E25" s="2"/>
      <c r="F25" s="2"/>
      <c r="G25" s="2"/>
      <c r="H25" s="2"/>
      <c r="I25" s="2" t="s">
        <v>215</v>
      </c>
      <c r="J25" s="2" t="s">
        <v>215</v>
      </c>
      <c r="K25" s="2"/>
      <c r="L25" s="2"/>
    </row>
    <row r="26" spans="1:12" ht="15.75" customHeight="1">
      <c r="A26" s="2"/>
      <c r="B26" s="2"/>
      <c r="C26" s="5"/>
      <c r="D26" s="3"/>
      <c r="E26" s="2"/>
      <c r="F26" s="2"/>
      <c r="G26" s="2"/>
      <c r="H26" s="2"/>
      <c r="I26" s="2" t="s">
        <v>237</v>
      </c>
      <c r="J26" s="2" t="s">
        <v>237</v>
      </c>
      <c r="K26" s="2"/>
      <c r="L26" s="2"/>
    </row>
    <row r="27" spans="1:12" ht="15.75" customHeight="1">
      <c r="A27" s="4"/>
      <c r="B27" s="2"/>
      <c r="C27" s="3"/>
      <c r="D27" s="3"/>
      <c r="E27" s="2"/>
      <c r="F27" s="2"/>
      <c r="G27" s="2"/>
      <c r="H27" s="2"/>
      <c r="I27" s="2" t="s">
        <v>238</v>
      </c>
      <c r="J27" s="2" t="s">
        <v>238</v>
      </c>
      <c r="K27" s="2"/>
      <c r="L27" s="2"/>
    </row>
    <row r="28" spans="1:12" ht="15.75" customHeight="1">
      <c r="A28" s="4"/>
      <c r="B28" s="4"/>
      <c r="C28" s="3"/>
      <c r="D28" s="3"/>
      <c r="E28" s="4"/>
      <c r="F28" s="2"/>
      <c r="G28" s="2"/>
      <c r="H28" s="2"/>
      <c r="I28" s="2" t="s">
        <v>239</v>
      </c>
      <c r="J28" s="2" t="s">
        <v>239</v>
      </c>
      <c r="K28" s="2"/>
      <c r="L28" s="2"/>
    </row>
    <row r="29" spans="1:12" ht="15.75" customHeight="1">
      <c r="I29" s="179" t="s">
        <v>240</v>
      </c>
      <c r="J29" s="179" t="s">
        <v>240</v>
      </c>
    </row>
    <row r="30" spans="1:12" ht="15.75" customHeight="1">
      <c r="E30" s="6"/>
      <c r="F30" s="7"/>
      <c r="G30" s="6"/>
      <c r="J30" s="179" t="s">
        <v>222</v>
      </c>
    </row>
    <row r="31" spans="1:12" ht="15.75" customHeight="1">
      <c r="A31" s="238" t="s">
        <v>62</v>
      </c>
      <c r="B31" s="239"/>
      <c r="C31" s="239"/>
      <c r="D31" s="240"/>
      <c r="E31" s="7"/>
      <c r="F31" s="241" t="s">
        <v>63</v>
      </c>
      <c r="G31" s="240"/>
    </row>
    <row r="32" spans="1:12" ht="15.75" customHeight="1">
      <c r="A32" s="242" t="s">
        <v>48</v>
      </c>
      <c r="B32" s="240"/>
      <c r="C32" s="242" t="s">
        <v>50</v>
      </c>
      <c r="D32" s="240"/>
      <c r="E32" s="8"/>
      <c r="F32" s="9" t="s">
        <v>64</v>
      </c>
      <c r="G32" s="9">
        <v>1043</v>
      </c>
    </row>
    <row r="33" spans="1:10" ht="15.75" customHeight="1">
      <c r="A33" s="10" t="s">
        <v>248</v>
      </c>
      <c r="B33" s="10" t="s">
        <v>249</v>
      </c>
      <c r="C33" s="10" t="s">
        <v>65</v>
      </c>
      <c r="D33" s="10" t="s">
        <v>66</v>
      </c>
      <c r="E33" s="8"/>
      <c r="F33" s="9" t="s">
        <v>67</v>
      </c>
      <c r="G33" s="9">
        <f>1070+253+1</f>
        <v>1324</v>
      </c>
      <c r="J33" s="180" t="s">
        <v>241</v>
      </c>
    </row>
    <row r="34" spans="1:10" ht="15.75" customHeight="1">
      <c r="A34" s="2" t="s">
        <v>10</v>
      </c>
      <c r="B34" s="2" t="s">
        <v>10</v>
      </c>
      <c r="C34" s="2" t="s">
        <v>68</v>
      </c>
      <c r="D34" s="2" t="s">
        <v>68</v>
      </c>
      <c r="E34" s="8"/>
      <c r="F34" s="9" t="s">
        <v>65</v>
      </c>
      <c r="G34" s="9">
        <v>204</v>
      </c>
    </row>
    <row r="35" spans="1:10" ht="15.75" customHeight="1">
      <c r="A35" s="2" t="s">
        <v>15</v>
      </c>
      <c r="B35" s="2" t="s">
        <v>15</v>
      </c>
      <c r="C35" s="2" t="s">
        <v>69</v>
      </c>
      <c r="D35" s="2" t="s">
        <v>69</v>
      </c>
      <c r="F35" s="9" t="s">
        <v>66</v>
      </c>
      <c r="G35" s="9">
        <f>297+16+1</f>
        <v>314</v>
      </c>
    </row>
    <row r="36" spans="1:10" ht="15.75" customHeight="1">
      <c r="A36" s="2" t="s">
        <v>213</v>
      </c>
      <c r="B36" s="2" t="s">
        <v>213</v>
      </c>
      <c r="C36" s="2" t="s">
        <v>225</v>
      </c>
      <c r="D36" s="2" t="s">
        <v>225</v>
      </c>
      <c r="F36" s="9" t="s">
        <v>70</v>
      </c>
      <c r="G36" s="9">
        <f>G35+G34</f>
        <v>518</v>
      </c>
    </row>
    <row r="37" spans="1:10" ht="15.75" customHeight="1">
      <c r="A37" s="2" t="s">
        <v>36</v>
      </c>
      <c r="B37" s="2" t="s">
        <v>36</v>
      </c>
      <c r="C37" s="2" t="s">
        <v>40</v>
      </c>
      <c r="D37" s="2" t="s">
        <v>40</v>
      </c>
      <c r="F37" s="9" t="s">
        <v>71</v>
      </c>
      <c r="G37" s="9">
        <f>G34+G32</f>
        <v>1247</v>
      </c>
    </row>
    <row r="38" spans="1:10" ht="15.75" customHeight="1">
      <c r="A38" s="2" t="s">
        <v>40</v>
      </c>
      <c r="B38" s="2" t="s">
        <v>40</v>
      </c>
      <c r="C38" s="2" t="s">
        <v>36</v>
      </c>
      <c r="D38" s="2" t="s">
        <v>36</v>
      </c>
      <c r="F38" s="9" t="s">
        <v>72</v>
      </c>
      <c r="G38" s="9">
        <f>G33+G35</f>
        <v>1638</v>
      </c>
    </row>
    <row r="39" spans="1:10" ht="15.75" customHeight="1">
      <c r="A39" s="2" t="s">
        <v>235</v>
      </c>
      <c r="B39" s="2" t="s">
        <v>74</v>
      </c>
      <c r="C39" s="2" t="s">
        <v>212</v>
      </c>
      <c r="D39" s="2" t="s">
        <v>74</v>
      </c>
      <c r="F39" s="11" t="s">
        <v>73</v>
      </c>
      <c r="G39" s="11">
        <f>SUM(G32:G35)</f>
        <v>2885</v>
      </c>
    </row>
    <row r="40" spans="1:10" ht="15.75" customHeight="1">
      <c r="A40" s="5"/>
      <c r="B40" s="2"/>
      <c r="C40" s="5"/>
      <c r="D40" s="2"/>
    </row>
    <row r="41" spans="1:10" ht="15.75" customHeight="1">
      <c r="A41" s="179" t="s">
        <v>242</v>
      </c>
      <c r="B41" s="179" t="s">
        <v>242</v>
      </c>
      <c r="C41" s="179" t="s">
        <v>242</v>
      </c>
      <c r="D41" s="179" t="s">
        <v>242</v>
      </c>
    </row>
    <row r="42" spans="1:10" ht="15.75" customHeight="1">
      <c r="C42" s="179" t="s">
        <v>243</v>
      </c>
      <c r="D42" s="179" t="s">
        <v>243</v>
      </c>
    </row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I18:J18"/>
    <mergeCell ref="A1:H1"/>
    <mergeCell ref="A2:B2"/>
    <mergeCell ref="C2:D2"/>
    <mergeCell ref="E2:F2"/>
    <mergeCell ref="G2:H2"/>
    <mergeCell ref="A17:L17"/>
    <mergeCell ref="A18:B18"/>
    <mergeCell ref="K18:L18"/>
    <mergeCell ref="C18:D18"/>
    <mergeCell ref="E18:F18"/>
    <mergeCell ref="A31:D31"/>
    <mergeCell ref="F31:G31"/>
    <mergeCell ref="A32:B32"/>
    <mergeCell ref="C32:D32"/>
    <mergeCell ref="G18:H18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92"/>
  <sheetViews>
    <sheetView topLeftCell="A25" zoomScale="70" zoomScaleNormal="70" workbookViewId="0">
      <selection activeCell="D58" sqref="D58"/>
    </sheetView>
  </sheetViews>
  <sheetFormatPr defaultColWidth="14.42578125" defaultRowHeight="15" customHeight="1"/>
  <cols>
    <col min="1" max="1" width="28.7109375" customWidth="1"/>
    <col min="2" max="2" width="35.85546875" customWidth="1"/>
    <col min="3" max="4" width="12.5703125" customWidth="1"/>
    <col min="5" max="5" width="13.28515625" customWidth="1"/>
    <col min="6" max="6" width="12.5703125" customWidth="1"/>
    <col min="7" max="7" width="17.28515625" customWidth="1"/>
    <col min="8" max="8" width="12.5703125" customWidth="1"/>
    <col min="9" max="9" width="15.85546875" customWidth="1"/>
    <col min="10" max="10" width="16.85546875" customWidth="1"/>
    <col min="11" max="11" width="12.5703125" customWidth="1"/>
    <col min="12" max="12" width="22" customWidth="1"/>
    <col min="13" max="13" width="8.7109375" customWidth="1"/>
  </cols>
  <sheetData>
    <row r="1" spans="1:14" ht="15.75" customHeight="1">
      <c r="A1" s="255">
        <v>1</v>
      </c>
      <c r="B1" s="256"/>
      <c r="C1" s="258" t="s">
        <v>1</v>
      </c>
      <c r="D1" s="256"/>
      <c r="E1" s="261" t="s">
        <v>75</v>
      </c>
      <c r="F1" s="262"/>
      <c r="G1" s="262"/>
      <c r="H1" s="262"/>
      <c r="I1" s="262"/>
      <c r="J1" s="263"/>
    </row>
    <row r="2" spans="1:14" ht="16.5" customHeight="1">
      <c r="A2" s="253"/>
      <c r="B2" s="257"/>
      <c r="C2" s="259"/>
      <c r="D2" s="260"/>
      <c r="E2" s="253"/>
      <c r="F2" s="264"/>
      <c r="G2" s="264"/>
      <c r="H2" s="264"/>
      <c r="I2" s="264"/>
      <c r="J2" s="265"/>
      <c r="L2" s="241" t="s">
        <v>63</v>
      </c>
      <c r="M2" s="240"/>
    </row>
    <row r="3" spans="1:14" ht="16.5" customHeight="1">
      <c r="A3" s="266" t="s">
        <v>0</v>
      </c>
      <c r="B3" s="267"/>
      <c r="C3" s="268" t="s">
        <v>76</v>
      </c>
      <c r="D3" s="269"/>
      <c r="E3" s="269"/>
      <c r="F3" s="269"/>
      <c r="G3" s="269"/>
      <c r="H3" s="269"/>
      <c r="I3" s="269"/>
      <c r="J3" s="256"/>
      <c r="L3" s="9" t="s">
        <v>64</v>
      </c>
      <c r="M3" s="9">
        <v>1043</v>
      </c>
      <c r="N3" s="110">
        <f>M3*8000</f>
        <v>8344000</v>
      </c>
    </row>
    <row r="4" spans="1:14" ht="15.75">
      <c r="A4" s="12" t="s">
        <v>5</v>
      </c>
      <c r="B4" s="13" t="s">
        <v>6</v>
      </c>
      <c r="C4" s="252"/>
      <c r="D4" s="270"/>
      <c r="E4" s="270"/>
      <c r="F4" s="270"/>
      <c r="G4" s="270"/>
      <c r="H4" s="270"/>
      <c r="I4" s="270"/>
      <c r="J4" s="271"/>
      <c r="L4" s="9" t="s">
        <v>67</v>
      </c>
      <c r="M4" s="9">
        <f>1070+253+1</f>
        <v>1324</v>
      </c>
      <c r="N4" s="110">
        <f>M4*10000</f>
        <v>13240000</v>
      </c>
    </row>
    <row r="5" spans="1:14" ht="15.75">
      <c r="A5" s="2" t="s">
        <v>53</v>
      </c>
      <c r="B5" s="2" t="s">
        <v>53</v>
      </c>
      <c r="C5" s="252"/>
      <c r="D5" s="270"/>
      <c r="E5" s="270"/>
      <c r="F5" s="270"/>
      <c r="G5" s="270"/>
      <c r="H5" s="270"/>
      <c r="I5" s="270"/>
      <c r="J5" s="271"/>
      <c r="L5" s="9" t="s">
        <v>65</v>
      </c>
      <c r="M5" s="9">
        <v>204</v>
      </c>
      <c r="N5" s="110">
        <f>N3+N4</f>
        <v>21584000</v>
      </c>
    </row>
    <row r="6" spans="1:14" ht="15.75">
      <c r="A6" s="2" t="s">
        <v>55</v>
      </c>
      <c r="B6" s="2" t="s">
        <v>55</v>
      </c>
      <c r="C6" s="252"/>
      <c r="D6" s="270"/>
      <c r="E6" s="270"/>
      <c r="F6" s="270"/>
      <c r="G6" s="270"/>
      <c r="H6" s="270"/>
      <c r="I6" s="270"/>
      <c r="J6" s="271"/>
      <c r="L6" s="9" t="s">
        <v>66</v>
      </c>
      <c r="M6" s="9">
        <f>297+16+1</f>
        <v>314</v>
      </c>
    </row>
    <row r="7" spans="1:14" ht="15.75">
      <c r="A7" s="2" t="s">
        <v>59</v>
      </c>
      <c r="B7" s="2" t="s">
        <v>59</v>
      </c>
      <c r="C7" s="252"/>
      <c r="D7" s="270"/>
      <c r="E7" s="270"/>
      <c r="F7" s="270"/>
      <c r="G7" s="270"/>
      <c r="H7" s="270"/>
      <c r="I7" s="270"/>
      <c r="J7" s="271"/>
      <c r="L7" s="9" t="s">
        <v>70</v>
      </c>
      <c r="M7" s="9">
        <f>M6+M5</f>
        <v>518</v>
      </c>
    </row>
    <row r="8" spans="1:14" ht="15.75">
      <c r="A8" s="2"/>
      <c r="B8" s="2" t="s">
        <v>60</v>
      </c>
      <c r="C8" s="252"/>
      <c r="D8" s="270"/>
      <c r="E8" s="270"/>
      <c r="F8" s="270"/>
      <c r="G8" s="270"/>
      <c r="H8" s="270"/>
      <c r="I8" s="270"/>
      <c r="J8" s="271"/>
      <c r="L8" s="9" t="s">
        <v>71</v>
      </c>
      <c r="M8" s="9">
        <f>M5+M3</f>
        <v>1247</v>
      </c>
    </row>
    <row r="9" spans="1:14" ht="15.75">
      <c r="A9" s="2"/>
      <c r="B9" s="2"/>
      <c r="C9" s="252"/>
      <c r="D9" s="270"/>
      <c r="E9" s="270"/>
      <c r="F9" s="270"/>
      <c r="G9" s="270"/>
      <c r="H9" s="270"/>
      <c r="I9" s="270"/>
      <c r="J9" s="271"/>
      <c r="L9" s="9" t="s">
        <v>72</v>
      </c>
      <c r="M9" s="9">
        <f>M4+M6</f>
        <v>1638</v>
      </c>
    </row>
    <row r="10" spans="1:14" ht="15.75">
      <c r="A10" s="14"/>
      <c r="B10" s="15"/>
      <c r="C10" s="252"/>
      <c r="D10" s="270"/>
      <c r="E10" s="270"/>
      <c r="F10" s="270"/>
      <c r="G10" s="270"/>
      <c r="H10" s="270"/>
      <c r="I10" s="270"/>
      <c r="J10" s="271"/>
      <c r="L10" s="11" t="s">
        <v>73</v>
      </c>
      <c r="M10" s="11">
        <f>SUM(M3:M6)</f>
        <v>2885</v>
      </c>
    </row>
    <row r="11" spans="1:14" ht="15.75">
      <c r="A11" s="14"/>
      <c r="B11" s="15"/>
      <c r="C11" s="252"/>
      <c r="D11" s="270"/>
      <c r="E11" s="270"/>
      <c r="F11" s="270"/>
      <c r="G11" s="270"/>
      <c r="H11" s="270"/>
      <c r="I11" s="270"/>
      <c r="J11" s="271"/>
    </row>
    <row r="12" spans="1:14" ht="15.75">
      <c r="A12" s="16"/>
      <c r="B12" s="15"/>
      <c r="C12" s="253"/>
      <c r="D12" s="264"/>
      <c r="E12" s="264"/>
      <c r="F12" s="264"/>
      <c r="G12" s="264"/>
      <c r="H12" s="264"/>
      <c r="I12" s="264"/>
      <c r="J12" s="257"/>
    </row>
    <row r="13" spans="1:14" ht="15.75">
      <c r="A13" s="245" t="s">
        <v>77</v>
      </c>
      <c r="B13" s="246"/>
      <c r="C13" s="17" t="s">
        <v>78</v>
      </c>
      <c r="D13" s="18" t="s">
        <v>79</v>
      </c>
      <c r="E13" s="17" t="s">
        <v>80</v>
      </c>
      <c r="F13" s="17" t="s">
        <v>81</v>
      </c>
      <c r="G13" s="19" t="s">
        <v>82</v>
      </c>
      <c r="H13" s="20" t="s">
        <v>83</v>
      </c>
      <c r="I13" s="17" t="s">
        <v>84</v>
      </c>
      <c r="J13" s="17" t="s">
        <v>85</v>
      </c>
    </row>
    <row r="14" spans="1:14" ht="15.75">
      <c r="A14" s="21"/>
      <c r="B14" s="22"/>
      <c r="C14" s="23">
        <v>0</v>
      </c>
      <c r="D14" s="24">
        <v>0</v>
      </c>
      <c r="E14" s="25">
        <f t="shared" ref="E14:E15" si="0">C14*D14</f>
        <v>0</v>
      </c>
      <c r="F14" s="247">
        <f>((E16+E16*3%))</f>
        <v>0</v>
      </c>
      <c r="G14" s="250">
        <f>F14/1000</f>
        <v>0</v>
      </c>
      <c r="H14" s="251" t="s">
        <v>86</v>
      </c>
      <c r="I14" s="26"/>
      <c r="J14" s="5"/>
    </row>
    <row r="15" spans="1:14" ht="15.75">
      <c r="A15" s="21"/>
      <c r="B15" s="22"/>
      <c r="C15" s="23"/>
      <c r="D15" s="27"/>
      <c r="E15" s="25">
        <f t="shared" si="0"/>
        <v>0</v>
      </c>
      <c r="F15" s="248"/>
      <c r="G15" s="248"/>
      <c r="H15" s="252"/>
      <c r="I15" s="26"/>
      <c r="J15" s="5"/>
      <c r="L15" s="24"/>
    </row>
    <row r="16" spans="1:14" ht="15.75">
      <c r="A16" s="254" t="s">
        <v>85</v>
      </c>
      <c r="B16" s="239"/>
      <c r="C16" s="239"/>
      <c r="D16" s="240"/>
      <c r="E16" s="25">
        <f>E14+E15</f>
        <v>0</v>
      </c>
      <c r="F16" s="249"/>
      <c r="G16" s="249"/>
      <c r="H16" s="253"/>
      <c r="I16" s="26"/>
      <c r="J16" s="5"/>
    </row>
    <row r="17" spans="1:11" ht="15.75">
      <c r="A17" s="29" t="s">
        <v>87</v>
      </c>
      <c r="B17" s="30"/>
      <c r="C17" s="102"/>
      <c r="D17" s="103"/>
      <c r="E17" s="103"/>
      <c r="F17" s="103"/>
      <c r="G17" s="105"/>
      <c r="H17" s="103"/>
      <c r="I17" s="103"/>
      <c r="J17" s="104"/>
    </row>
    <row r="18" spans="1:11" ht="15.75">
      <c r="A18" s="21" t="s">
        <v>88</v>
      </c>
      <c r="B18" s="22" t="s">
        <v>89</v>
      </c>
      <c r="C18" s="31">
        <f>1000/12</f>
        <v>83.333333333333329</v>
      </c>
      <c r="D18" s="9">
        <v>1043</v>
      </c>
      <c r="E18" s="32">
        <f t="shared" ref="E18:E19" si="1">C18*D18</f>
        <v>86916.666666666657</v>
      </c>
      <c r="F18" s="25">
        <f t="shared" ref="F18:F19" si="2">(E18+(E18*4%))</f>
        <v>90393.333333333328</v>
      </c>
      <c r="G18" s="33">
        <f t="shared" ref="G18:G19" si="3">+F18/1000</f>
        <v>90.393333333333331</v>
      </c>
      <c r="H18" s="28" t="s">
        <v>86</v>
      </c>
      <c r="I18" s="111">
        <v>40000</v>
      </c>
      <c r="J18" s="112">
        <f>G18*I18</f>
        <v>3615733.333333333</v>
      </c>
      <c r="K18" s="35">
        <f>E18/1000</f>
        <v>86.916666666666657</v>
      </c>
    </row>
    <row r="19" spans="1:11" ht="15.75">
      <c r="A19" s="21" t="s">
        <v>90</v>
      </c>
      <c r="B19" s="22" t="s">
        <v>91</v>
      </c>
      <c r="C19" s="31">
        <f>1000/10</f>
        <v>100</v>
      </c>
      <c r="D19" s="9">
        <v>1324</v>
      </c>
      <c r="E19" s="32">
        <f t="shared" si="1"/>
        <v>132400</v>
      </c>
      <c r="F19" s="25">
        <f t="shared" si="2"/>
        <v>137696</v>
      </c>
      <c r="G19" s="33">
        <f t="shared" si="3"/>
        <v>137.696</v>
      </c>
      <c r="H19" s="28" t="s">
        <v>86</v>
      </c>
      <c r="I19" s="111">
        <v>40000</v>
      </c>
      <c r="J19" s="112">
        <f t="shared" ref="J19:J26" si="4">G19*I19</f>
        <v>5507840</v>
      </c>
      <c r="K19" s="35">
        <f t="shared" ref="K19:K41" si="5">E19/1000</f>
        <v>132.4</v>
      </c>
    </row>
    <row r="20" spans="1:11" ht="15.75">
      <c r="A20" s="36" t="s">
        <v>92</v>
      </c>
      <c r="B20" s="37"/>
      <c r="C20" s="106"/>
      <c r="D20" s="101"/>
      <c r="E20" s="101"/>
      <c r="F20" s="101"/>
      <c r="G20" s="101"/>
      <c r="H20" s="101"/>
      <c r="I20" s="113"/>
      <c r="J20" s="112">
        <f t="shared" si="4"/>
        <v>0</v>
      </c>
      <c r="K20" s="35">
        <f t="shared" si="5"/>
        <v>0</v>
      </c>
    </row>
    <row r="21" spans="1:11" ht="15.75" customHeight="1">
      <c r="A21" s="38"/>
      <c r="B21" s="26" t="s">
        <v>93</v>
      </c>
      <c r="C21" s="33">
        <v>1</v>
      </c>
      <c r="D21" s="39">
        <f>M3+M4</f>
        <v>2367</v>
      </c>
      <c r="E21" s="25">
        <f t="shared" ref="E21" si="6">C21*D21</f>
        <v>2367</v>
      </c>
      <c r="F21" s="25">
        <f>(E21+(E21*4%))</f>
        <v>2461.6799999999998</v>
      </c>
      <c r="G21" s="33">
        <f>+F21</f>
        <v>2461.6799999999998</v>
      </c>
      <c r="H21" s="40" t="s">
        <v>94</v>
      </c>
      <c r="I21" s="111">
        <v>650</v>
      </c>
      <c r="J21" s="112">
        <f t="shared" si="4"/>
        <v>1600092</v>
      </c>
      <c r="K21" s="35">
        <f t="shared" si="5"/>
        <v>2.367</v>
      </c>
    </row>
    <row r="22" spans="1:11" ht="15.75" customHeight="1">
      <c r="A22" s="21"/>
      <c r="B22" s="22"/>
      <c r="C22" s="33"/>
      <c r="D22" s="39"/>
      <c r="E22" s="25"/>
      <c r="F22" s="25"/>
      <c r="G22" s="33"/>
      <c r="H22" s="39"/>
      <c r="I22" s="111"/>
      <c r="J22" s="112">
        <f t="shared" si="4"/>
        <v>0</v>
      </c>
      <c r="K22" s="35">
        <f t="shared" si="5"/>
        <v>0</v>
      </c>
    </row>
    <row r="23" spans="1:11" ht="15.75" customHeight="1">
      <c r="A23" s="41" t="s">
        <v>96</v>
      </c>
      <c r="B23" s="42"/>
      <c r="C23" s="43"/>
      <c r="D23" s="42"/>
      <c r="E23" s="42"/>
      <c r="F23" s="42"/>
      <c r="G23" s="42"/>
      <c r="H23" s="107"/>
      <c r="I23" s="114"/>
      <c r="J23" s="112">
        <f t="shared" si="4"/>
        <v>0</v>
      </c>
      <c r="K23" s="35">
        <f t="shared" si="5"/>
        <v>0</v>
      </c>
    </row>
    <row r="24" spans="1:11" ht="15.75" customHeight="1">
      <c r="A24" s="44" t="s">
        <v>97</v>
      </c>
      <c r="B24" s="45"/>
      <c r="C24" s="46"/>
      <c r="D24" s="45"/>
      <c r="E24" s="45"/>
      <c r="F24" s="45"/>
      <c r="G24" s="45"/>
      <c r="H24" s="108"/>
      <c r="I24" s="114"/>
      <c r="J24" s="112">
        <f t="shared" si="4"/>
        <v>0</v>
      </c>
      <c r="K24" s="35">
        <f t="shared" si="5"/>
        <v>0</v>
      </c>
    </row>
    <row r="25" spans="1:11" ht="15.75" customHeight="1">
      <c r="A25" s="21"/>
      <c r="B25" s="15" t="s">
        <v>98</v>
      </c>
      <c r="C25" s="33">
        <v>1</v>
      </c>
      <c r="D25" s="24">
        <f>M3+M4</f>
        <v>2367</v>
      </c>
      <c r="E25" s="25">
        <f t="shared" ref="E25:E26" si="7">C25*D25</f>
        <v>2367</v>
      </c>
      <c r="F25" s="25">
        <f t="shared" ref="F25:F26" si="8">(E25+(E25*3%))</f>
        <v>2438.0100000000002</v>
      </c>
      <c r="G25" s="33">
        <f>+F25</f>
        <v>2438.0100000000002</v>
      </c>
      <c r="H25" s="28" t="s">
        <v>95</v>
      </c>
      <c r="I25" s="111">
        <v>2500</v>
      </c>
      <c r="J25" s="112">
        <f t="shared" si="4"/>
        <v>6095025.0000000009</v>
      </c>
      <c r="K25" s="35">
        <f t="shared" si="5"/>
        <v>2.367</v>
      </c>
    </row>
    <row r="26" spans="1:11" ht="15.75" customHeight="1">
      <c r="A26" s="21"/>
      <c r="B26" s="15" t="s">
        <v>60</v>
      </c>
      <c r="C26" s="33">
        <v>35</v>
      </c>
      <c r="D26" s="47">
        <v>1324</v>
      </c>
      <c r="E26" s="25">
        <f t="shared" si="7"/>
        <v>46340</v>
      </c>
      <c r="F26" s="25">
        <f t="shared" si="8"/>
        <v>47730.2</v>
      </c>
      <c r="G26" s="33">
        <f>+F26/1000</f>
        <v>47.730199999999996</v>
      </c>
      <c r="H26" s="28" t="s">
        <v>86</v>
      </c>
      <c r="I26" s="111">
        <v>40000</v>
      </c>
      <c r="J26" s="112">
        <f t="shared" si="4"/>
        <v>1909207.9999999998</v>
      </c>
      <c r="K26" s="35">
        <f t="shared" si="5"/>
        <v>46.34</v>
      </c>
    </row>
    <row r="27" spans="1:11" ht="15.75" customHeight="1">
      <c r="A27" s="48" t="s">
        <v>99</v>
      </c>
      <c r="B27" s="49"/>
      <c r="C27" s="49"/>
      <c r="D27" s="49"/>
      <c r="E27" s="49"/>
      <c r="F27" s="49"/>
      <c r="G27" s="49"/>
      <c r="H27" s="109"/>
      <c r="I27" s="114"/>
      <c r="J27" s="115"/>
      <c r="K27" s="35">
        <f t="shared" si="5"/>
        <v>0</v>
      </c>
    </row>
    <row r="28" spans="1:11" ht="15.75" customHeight="1">
      <c r="A28" s="26"/>
      <c r="B28" s="26" t="s">
        <v>181</v>
      </c>
      <c r="C28" s="50">
        <v>1</v>
      </c>
      <c r="D28" s="24">
        <v>2367</v>
      </c>
      <c r="E28" s="25">
        <f t="shared" ref="E28:E43" si="9">C28*D28</f>
        <v>2367</v>
      </c>
      <c r="F28" s="25">
        <f t="shared" ref="F28:F43" si="10">(E28+(E28*3%))</f>
        <v>2438.0100000000002</v>
      </c>
      <c r="G28" s="33">
        <f t="shared" ref="G28:G40" si="11">+F28/1000</f>
        <v>2.4380100000000002</v>
      </c>
      <c r="H28" s="28" t="s">
        <v>86</v>
      </c>
      <c r="I28" s="111">
        <v>15000</v>
      </c>
      <c r="J28" s="112">
        <f>K28*I28</f>
        <v>35505</v>
      </c>
      <c r="K28" s="35">
        <f t="shared" si="5"/>
        <v>2.367</v>
      </c>
    </row>
    <row r="29" spans="1:11" ht="15.75" customHeight="1">
      <c r="A29" s="26"/>
      <c r="B29" s="26" t="s">
        <v>182</v>
      </c>
      <c r="C29" s="50">
        <v>0.5</v>
      </c>
      <c r="D29" s="24">
        <v>2367</v>
      </c>
      <c r="E29" s="25">
        <f t="shared" si="9"/>
        <v>1183.5</v>
      </c>
      <c r="F29" s="25">
        <f t="shared" si="10"/>
        <v>1219.0050000000001</v>
      </c>
      <c r="G29" s="33">
        <f t="shared" si="11"/>
        <v>1.2190050000000001</v>
      </c>
      <c r="H29" s="28" t="s">
        <v>86</v>
      </c>
      <c r="I29" s="111">
        <v>27000</v>
      </c>
      <c r="J29" s="112">
        <f t="shared" ref="J29:J41" si="12">K29*I29</f>
        <v>31954.5</v>
      </c>
      <c r="K29" s="35">
        <f t="shared" si="5"/>
        <v>1.1835</v>
      </c>
    </row>
    <row r="30" spans="1:11" ht="15.75" customHeight="1">
      <c r="A30" s="26"/>
      <c r="B30" s="26" t="s">
        <v>102</v>
      </c>
      <c r="C30" s="50">
        <v>0.5</v>
      </c>
      <c r="D30" s="24">
        <v>2367</v>
      </c>
      <c r="E30" s="25">
        <f t="shared" si="9"/>
        <v>1183.5</v>
      </c>
      <c r="F30" s="25">
        <f t="shared" si="10"/>
        <v>1219.0050000000001</v>
      </c>
      <c r="G30" s="33">
        <f t="shared" si="11"/>
        <v>1.2190050000000001</v>
      </c>
      <c r="H30" s="28" t="s">
        <v>86</v>
      </c>
      <c r="I30" s="111">
        <v>50000</v>
      </c>
      <c r="J30" s="112">
        <f t="shared" si="12"/>
        <v>59175</v>
      </c>
      <c r="K30" s="35">
        <f t="shared" si="5"/>
        <v>1.1835</v>
      </c>
    </row>
    <row r="31" spans="1:11" ht="15.75" customHeight="1">
      <c r="A31" s="26"/>
      <c r="B31" s="26" t="s">
        <v>103</v>
      </c>
      <c r="C31" s="50">
        <v>1</v>
      </c>
      <c r="D31" s="24">
        <v>2367</v>
      </c>
      <c r="E31" s="25">
        <f t="shared" si="9"/>
        <v>2367</v>
      </c>
      <c r="F31" s="25">
        <f t="shared" si="10"/>
        <v>2438.0100000000002</v>
      </c>
      <c r="G31" s="33">
        <f t="shared" si="11"/>
        <v>2.4380100000000002</v>
      </c>
      <c r="H31" s="28" t="s">
        <v>86</v>
      </c>
      <c r="I31" s="111">
        <v>45000</v>
      </c>
      <c r="J31" s="112">
        <f t="shared" si="12"/>
        <v>106515</v>
      </c>
      <c r="K31" s="35">
        <f t="shared" si="5"/>
        <v>2.367</v>
      </c>
    </row>
    <row r="32" spans="1:11" ht="15.75" customHeight="1">
      <c r="A32" s="26"/>
      <c r="B32" s="26" t="s">
        <v>104</v>
      </c>
      <c r="C32" s="50">
        <v>1</v>
      </c>
      <c r="D32" s="24">
        <v>2367</v>
      </c>
      <c r="E32" s="25">
        <f t="shared" si="9"/>
        <v>2367</v>
      </c>
      <c r="F32" s="25">
        <f t="shared" si="10"/>
        <v>2438.0100000000002</v>
      </c>
      <c r="G32" s="33">
        <f t="shared" si="11"/>
        <v>2.4380100000000002</v>
      </c>
      <c r="H32" s="28" t="s">
        <v>86</v>
      </c>
      <c r="I32" s="111">
        <v>43000</v>
      </c>
      <c r="J32" s="112">
        <f t="shared" si="12"/>
        <v>101781</v>
      </c>
      <c r="K32" s="35">
        <f t="shared" si="5"/>
        <v>2.367</v>
      </c>
    </row>
    <row r="33" spans="1:12" ht="15.75" customHeight="1">
      <c r="A33" s="26"/>
      <c r="B33" s="26" t="s">
        <v>105</v>
      </c>
      <c r="C33" s="50">
        <v>0.7</v>
      </c>
      <c r="D33" s="24">
        <v>2367</v>
      </c>
      <c r="E33" s="25">
        <f t="shared" si="9"/>
        <v>1656.8999999999999</v>
      </c>
      <c r="F33" s="25">
        <f t="shared" si="10"/>
        <v>1706.607</v>
      </c>
      <c r="G33" s="33">
        <f t="shared" si="11"/>
        <v>1.706607</v>
      </c>
      <c r="H33" s="28" t="s">
        <v>86</v>
      </c>
      <c r="I33" s="111">
        <v>35000</v>
      </c>
      <c r="J33" s="112">
        <f t="shared" si="12"/>
        <v>57991.499999999993</v>
      </c>
      <c r="K33" s="35">
        <f t="shared" si="5"/>
        <v>1.6568999999999998</v>
      </c>
    </row>
    <row r="34" spans="1:12" ht="15.75" customHeight="1">
      <c r="A34" s="26"/>
      <c r="B34" s="26" t="s">
        <v>106</v>
      </c>
      <c r="C34" s="50">
        <v>3</v>
      </c>
      <c r="D34" s="24">
        <v>2367</v>
      </c>
      <c r="E34" s="25">
        <f t="shared" si="9"/>
        <v>7101</v>
      </c>
      <c r="F34" s="25">
        <f t="shared" si="10"/>
        <v>7314.03</v>
      </c>
      <c r="G34" s="33">
        <f t="shared" si="11"/>
        <v>7.3140299999999998</v>
      </c>
      <c r="H34" s="28" t="s">
        <v>86</v>
      </c>
      <c r="I34" s="111">
        <v>13000</v>
      </c>
      <c r="J34" s="112">
        <f t="shared" si="12"/>
        <v>92313</v>
      </c>
      <c r="K34" s="35">
        <f t="shared" si="5"/>
        <v>7.101</v>
      </c>
    </row>
    <row r="35" spans="1:12" ht="15.75" customHeight="1">
      <c r="A35" s="26"/>
      <c r="B35" s="26" t="s">
        <v>107</v>
      </c>
      <c r="C35" s="50">
        <v>1</v>
      </c>
      <c r="D35" s="24">
        <v>2367</v>
      </c>
      <c r="E35" s="25">
        <f t="shared" si="9"/>
        <v>2367</v>
      </c>
      <c r="F35" s="25">
        <f t="shared" si="10"/>
        <v>2438.0100000000002</v>
      </c>
      <c r="G35" s="33">
        <f t="shared" si="11"/>
        <v>2.4380100000000002</v>
      </c>
      <c r="H35" s="28" t="s">
        <v>86</v>
      </c>
      <c r="I35" s="111">
        <v>102000</v>
      </c>
      <c r="J35" s="112">
        <f t="shared" si="12"/>
        <v>241434</v>
      </c>
      <c r="K35" s="35">
        <f t="shared" si="5"/>
        <v>2.367</v>
      </c>
    </row>
    <row r="36" spans="1:12" ht="15.75" customHeight="1">
      <c r="A36" s="26"/>
      <c r="B36" s="26" t="s">
        <v>108</v>
      </c>
      <c r="C36" s="50">
        <v>3</v>
      </c>
      <c r="D36" s="24">
        <v>2367</v>
      </c>
      <c r="E36" s="25">
        <f t="shared" si="9"/>
        <v>7101</v>
      </c>
      <c r="F36" s="25">
        <f t="shared" si="10"/>
        <v>7314.03</v>
      </c>
      <c r="G36" s="33">
        <f t="shared" si="11"/>
        <v>7.3140299999999998</v>
      </c>
      <c r="H36" s="28" t="s">
        <v>86</v>
      </c>
      <c r="I36" s="111">
        <v>19000</v>
      </c>
      <c r="J36" s="112">
        <f t="shared" si="12"/>
        <v>134919</v>
      </c>
      <c r="K36" s="35">
        <f t="shared" si="5"/>
        <v>7.101</v>
      </c>
    </row>
    <row r="37" spans="1:12" ht="15.75" customHeight="1">
      <c r="A37" s="26"/>
      <c r="B37" s="26" t="s">
        <v>109</v>
      </c>
      <c r="C37" s="50">
        <v>1</v>
      </c>
      <c r="D37" s="24">
        <v>2367</v>
      </c>
      <c r="E37" s="25">
        <f t="shared" si="9"/>
        <v>2367</v>
      </c>
      <c r="F37" s="25">
        <f t="shared" si="10"/>
        <v>2438.0100000000002</v>
      </c>
      <c r="G37" s="33">
        <f t="shared" si="11"/>
        <v>2.4380100000000002</v>
      </c>
      <c r="H37" s="28" t="s">
        <v>86</v>
      </c>
      <c r="I37" s="111">
        <v>53000</v>
      </c>
      <c r="J37" s="112">
        <f t="shared" si="12"/>
        <v>125451</v>
      </c>
      <c r="K37" s="35">
        <f t="shared" si="5"/>
        <v>2.367</v>
      </c>
    </row>
    <row r="38" spans="1:12" ht="15.75" customHeight="1">
      <c r="A38" s="26"/>
      <c r="B38" s="26" t="s">
        <v>110</v>
      </c>
      <c r="C38" s="50">
        <v>15</v>
      </c>
      <c r="D38" s="24">
        <v>2367</v>
      </c>
      <c r="E38" s="25">
        <f t="shared" si="9"/>
        <v>35505</v>
      </c>
      <c r="F38" s="25">
        <f t="shared" si="10"/>
        <v>36570.15</v>
      </c>
      <c r="G38" s="33">
        <f t="shared" si="11"/>
        <v>36.570149999999998</v>
      </c>
      <c r="H38" s="28" t="s">
        <v>111</v>
      </c>
      <c r="I38" s="111">
        <v>19500</v>
      </c>
      <c r="J38" s="112">
        <f t="shared" si="12"/>
        <v>692347.5</v>
      </c>
      <c r="K38" s="35">
        <f t="shared" si="5"/>
        <v>35.505000000000003</v>
      </c>
    </row>
    <row r="39" spans="1:12" ht="15.75" customHeight="1">
      <c r="A39" s="26"/>
      <c r="B39" s="26" t="s">
        <v>112</v>
      </c>
      <c r="C39" s="21">
        <v>0.5</v>
      </c>
      <c r="D39" s="24">
        <v>2367</v>
      </c>
      <c r="E39" s="25">
        <f t="shared" si="9"/>
        <v>1183.5</v>
      </c>
      <c r="F39" s="25">
        <f t="shared" si="10"/>
        <v>1219.0050000000001</v>
      </c>
      <c r="G39" s="33">
        <f t="shared" si="11"/>
        <v>1.2190050000000001</v>
      </c>
      <c r="H39" s="28" t="s">
        <v>86</v>
      </c>
      <c r="I39" s="111">
        <v>16000</v>
      </c>
      <c r="J39" s="112">
        <f t="shared" si="12"/>
        <v>18936</v>
      </c>
      <c r="K39" s="35">
        <f t="shared" si="5"/>
        <v>1.1835</v>
      </c>
    </row>
    <row r="40" spans="1:12" ht="15.75" customHeight="1">
      <c r="A40" s="26"/>
      <c r="B40" s="26" t="s">
        <v>113</v>
      </c>
      <c r="C40" s="21">
        <v>0.5</v>
      </c>
      <c r="D40" s="24">
        <v>2367</v>
      </c>
      <c r="E40" s="25">
        <f t="shared" si="9"/>
        <v>1183.5</v>
      </c>
      <c r="F40" s="25">
        <f t="shared" si="10"/>
        <v>1219.0050000000001</v>
      </c>
      <c r="G40" s="33">
        <f t="shared" si="11"/>
        <v>1.2190050000000001</v>
      </c>
      <c r="H40" s="28" t="s">
        <v>86</v>
      </c>
      <c r="I40" s="111">
        <v>17000</v>
      </c>
      <c r="J40" s="112">
        <f t="shared" si="12"/>
        <v>20119.5</v>
      </c>
      <c r="K40" s="35">
        <f t="shared" si="5"/>
        <v>1.1835</v>
      </c>
    </row>
    <row r="41" spans="1:12" ht="15.75" customHeight="1">
      <c r="A41" s="51"/>
      <c r="B41" s="51" t="s">
        <v>114</v>
      </c>
      <c r="C41" s="52">
        <v>0.5</v>
      </c>
      <c r="D41" s="24">
        <v>2367</v>
      </c>
      <c r="E41" s="53">
        <f t="shared" si="9"/>
        <v>1183.5</v>
      </c>
      <c r="F41" s="53">
        <f t="shared" si="10"/>
        <v>1219.0050000000001</v>
      </c>
      <c r="G41" s="54">
        <f t="shared" ref="G41:G43" si="13">F41/1000</f>
        <v>1.2190050000000001</v>
      </c>
      <c r="H41" s="55" t="s">
        <v>111</v>
      </c>
      <c r="I41" s="34">
        <v>59000</v>
      </c>
      <c r="J41" s="112">
        <f t="shared" si="12"/>
        <v>69826.5</v>
      </c>
      <c r="K41" s="35">
        <f t="shared" si="5"/>
        <v>1.1835</v>
      </c>
    </row>
    <row r="42" spans="1:12" ht="15.75" customHeight="1">
      <c r="A42" s="51"/>
      <c r="B42" s="51" t="s">
        <v>115</v>
      </c>
      <c r="C42" s="52">
        <v>1</v>
      </c>
      <c r="D42" s="39">
        <v>1324</v>
      </c>
      <c r="E42" s="53">
        <f t="shared" si="9"/>
        <v>1324</v>
      </c>
      <c r="F42" s="53">
        <f t="shared" si="10"/>
        <v>1363.72</v>
      </c>
      <c r="G42" s="54">
        <f t="shared" si="13"/>
        <v>1.36372</v>
      </c>
      <c r="H42" s="56" t="s">
        <v>94</v>
      </c>
      <c r="I42" s="34"/>
      <c r="J42" s="112">
        <f>SUM(J18:J41)</f>
        <v>20516166.833333332</v>
      </c>
    </row>
    <row r="43" spans="1:12" ht="15.75" customHeight="1">
      <c r="A43" s="51"/>
      <c r="B43" s="51" t="s">
        <v>116</v>
      </c>
      <c r="C43" s="52">
        <v>1</v>
      </c>
      <c r="D43" s="39">
        <v>2367</v>
      </c>
      <c r="E43" s="53">
        <f t="shared" si="9"/>
        <v>2367</v>
      </c>
      <c r="F43" s="53">
        <f t="shared" si="10"/>
        <v>2438.0100000000002</v>
      </c>
      <c r="G43" s="54">
        <f t="shared" si="13"/>
        <v>2.4380100000000002</v>
      </c>
      <c r="H43" s="56" t="s">
        <v>94</v>
      </c>
      <c r="I43" s="34"/>
      <c r="J43" s="5"/>
    </row>
    <row r="44" spans="1:12" ht="15.75" customHeight="1">
      <c r="A44" s="57"/>
      <c r="B44" s="57"/>
      <c r="C44" s="57"/>
      <c r="D44" s="57"/>
      <c r="E44" s="57"/>
      <c r="F44" s="57"/>
      <c r="G44" s="57"/>
      <c r="H44" s="58"/>
      <c r="I44" s="59"/>
    </row>
    <row r="45" spans="1:12" ht="15.75" customHeight="1">
      <c r="A45" s="57"/>
      <c r="B45" s="57"/>
      <c r="C45" s="57"/>
      <c r="D45" s="57"/>
      <c r="E45" s="57"/>
      <c r="F45" s="57"/>
      <c r="G45" s="57"/>
      <c r="H45" s="60"/>
      <c r="I45" s="59"/>
    </row>
    <row r="46" spans="1:12" ht="15.75" customHeight="1">
      <c r="A46" s="61" t="s">
        <v>117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</row>
    <row r="47" spans="1:12" ht="15.75" customHeight="1">
      <c r="A47" s="65" t="s">
        <v>118</v>
      </c>
      <c r="B47" s="159" t="s">
        <v>119</v>
      </c>
      <c r="C47" s="65" t="s">
        <v>120</v>
      </c>
      <c r="D47" s="65" t="s">
        <v>121</v>
      </c>
      <c r="E47" s="66" t="s">
        <v>122</v>
      </c>
      <c r="F47" s="66" t="s">
        <v>123</v>
      </c>
      <c r="G47" s="66" t="s">
        <v>124</v>
      </c>
      <c r="H47" s="63" t="s">
        <v>125</v>
      </c>
      <c r="I47" s="63" t="s">
        <v>126</v>
      </c>
      <c r="J47" s="63" t="s">
        <v>127</v>
      </c>
      <c r="K47" s="63" t="s">
        <v>77</v>
      </c>
      <c r="L47" s="63" t="s">
        <v>128</v>
      </c>
    </row>
    <row r="48" spans="1:12" ht="15.75" customHeight="1">
      <c r="A48" s="163" t="s">
        <v>227</v>
      </c>
      <c r="B48" s="164">
        <v>58</v>
      </c>
      <c r="C48" s="163">
        <v>83</v>
      </c>
      <c r="D48" s="163">
        <f>B48%*C48</f>
        <v>48.139999999999993</v>
      </c>
      <c r="E48" s="163">
        <v>1.6</v>
      </c>
      <c r="F48" s="163">
        <f>D48/E48</f>
        <v>30.087499999999995</v>
      </c>
      <c r="G48" s="164" t="s">
        <v>226</v>
      </c>
      <c r="H48" s="70">
        <v>86</v>
      </c>
      <c r="I48" s="21">
        <v>8.1</v>
      </c>
      <c r="J48" s="21">
        <v>5.7</v>
      </c>
      <c r="K48" s="21">
        <v>0</v>
      </c>
      <c r="L48" s="21">
        <v>0</v>
      </c>
    </row>
    <row r="49" spans="1:12" ht="15.75" customHeight="1">
      <c r="A49" s="165" t="s">
        <v>228</v>
      </c>
      <c r="B49" s="160">
        <v>100</v>
      </c>
      <c r="C49" s="161">
        <v>50</v>
      </c>
      <c r="D49" s="162">
        <f t="shared" ref="D49:D51" si="14">B49%*C49</f>
        <v>50</v>
      </c>
      <c r="E49" s="162">
        <v>1.1000000000000001</v>
      </c>
      <c r="F49" s="162">
        <f t="shared" ref="F49:F51" si="15">D49/E49</f>
        <v>45.454545454545453</v>
      </c>
      <c r="G49" s="168" t="s">
        <v>229</v>
      </c>
      <c r="H49" s="71">
        <v>34.200000000000003</v>
      </c>
      <c r="I49" s="71">
        <v>3.6</v>
      </c>
      <c r="J49" s="71">
        <v>2.2000000000000002</v>
      </c>
      <c r="K49" s="71">
        <v>0.9</v>
      </c>
      <c r="L49" s="21">
        <v>0.5</v>
      </c>
    </row>
    <row r="50" spans="1:12" ht="15.75" customHeight="1">
      <c r="A50" s="40" t="s">
        <v>234</v>
      </c>
      <c r="B50" s="173">
        <v>100</v>
      </c>
      <c r="C50" s="174">
        <v>100</v>
      </c>
      <c r="D50" s="175">
        <f>B50*C50%</f>
        <v>100</v>
      </c>
      <c r="E50" s="175">
        <v>1</v>
      </c>
      <c r="F50" s="176">
        <f>D50/E50</f>
        <v>100</v>
      </c>
      <c r="G50" s="177" t="s">
        <v>233</v>
      </c>
      <c r="H50" s="178">
        <v>40</v>
      </c>
      <c r="I50" s="178">
        <v>1</v>
      </c>
      <c r="J50" s="178">
        <v>0</v>
      </c>
      <c r="K50" s="178">
        <v>9</v>
      </c>
      <c r="L50" s="177">
        <v>3</v>
      </c>
    </row>
    <row r="51" spans="1:12" ht="20.25" customHeight="1">
      <c r="A51" s="166" t="s">
        <v>222</v>
      </c>
      <c r="B51" s="68">
        <v>79</v>
      </c>
      <c r="C51" s="69">
        <v>23</v>
      </c>
      <c r="D51" s="47">
        <f t="shared" si="14"/>
        <v>18.170000000000002</v>
      </c>
      <c r="E51" s="47">
        <v>1</v>
      </c>
      <c r="F51" s="47">
        <f t="shared" si="15"/>
        <v>18.170000000000002</v>
      </c>
      <c r="G51" s="167" t="s">
        <v>231</v>
      </c>
      <c r="H51" s="39">
        <v>52.2</v>
      </c>
      <c r="I51" s="39">
        <v>0.6</v>
      </c>
      <c r="J51" s="39">
        <v>0.1</v>
      </c>
      <c r="K51" s="28">
        <v>13.8</v>
      </c>
      <c r="L51" s="21">
        <v>0.7</v>
      </c>
    </row>
    <row r="52" spans="1:12" ht="15.75" customHeight="1">
      <c r="A52" s="272" t="s">
        <v>129</v>
      </c>
      <c r="B52" s="239"/>
      <c r="C52" s="239"/>
      <c r="D52" s="239"/>
      <c r="E52" s="239"/>
      <c r="F52" s="239"/>
      <c r="G52" s="240"/>
      <c r="H52" s="73">
        <f>SUM(H48:H51)</f>
        <v>212.39999999999998</v>
      </c>
      <c r="I52" s="73">
        <f>SUM(I48:I51)</f>
        <v>13.299999999999999</v>
      </c>
      <c r="J52" s="73">
        <f>SUM(J48:J51)</f>
        <v>8</v>
      </c>
      <c r="K52" s="73">
        <f>SUM(K48:K51)</f>
        <v>23.700000000000003</v>
      </c>
      <c r="L52" s="73">
        <f>SUM(L48:L51)</f>
        <v>4.2</v>
      </c>
    </row>
    <row r="53" spans="1:12" ht="15.75" customHeight="1">
      <c r="A53" s="272" t="s">
        <v>130</v>
      </c>
      <c r="B53" s="239"/>
      <c r="C53" s="239"/>
      <c r="D53" s="239"/>
      <c r="E53" s="239"/>
      <c r="F53" s="239"/>
      <c r="G53" s="240"/>
      <c r="H53" s="74">
        <v>330</v>
      </c>
      <c r="I53" s="74">
        <v>8</v>
      </c>
      <c r="J53" s="74">
        <v>11</v>
      </c>
      <c r="K53" s="74">
        <v>50</v>
      </c>
      <c r="L53" s="21">
        <v>4</v>
      </c>
    </row>
    <row r="54" spans="1:12" ht="15.75" customHeight="1">
      <c r="A54" s="272" t="s">
        <v>131</v>
      </c>
      <c r="B54" s="239"/>
      <c r="C54" s="239"/>
      <c r="D54" s="239"/>
      <c r="E54" s="239"/>
      <c r="F54" s="239"/>
      <c r="G54" s="240"/>
      <c r="H54" s="75">
        <f t="shared" ref="H54:L54" si="16">(H52/H53)*100</f>
        <v>64.36363636363636</v>
      </c>
      <c r="I54" s="75">
        <f t="shared" si="16"/>
        <v>166.25</v>
      </c>
      <c r="J54" s="75">
        <f t="shared" si="16"/>
        <v>72.727272727272734</v>
      </c>
      <c r="K54" s="75">
        <f t="shared" si="16"/>
        <v>47.400000000000006</v>
      </c>
      <c r="L54" s="75">
        <f t="shared" si="16"/>
        <v>105</v>
      </c>
    </row>
    <row r="55" spans="1:12" ht="15.75" customHeight="1">
      <c r="A55" s="76"/>
      <c r="B55" s="76"/>
      <c r="C55" s="76"/>
      <c r="D55" s="76"/>
      <c r="E55" s="76"/>
      <c r="F55" s="76"/>
      <c r="G55" s="76"/>
      <c r="H55" s="76"/>
      <c r="I55" s="77"/>
      <c r="J55" s="77"/>
      <c r="K55" s="57"/>
      <c r="L55" s="57"/>
    </row>
    <row r="56" spans="1:12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</row>
    <row r="57" spans="1:12" ht="15.75" customHeight="1">
      <c r="A57" s="61" t="s">
        <v>132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</row>
    <row r="58" spans="1:12" ht="15.75" customHeight="1">
      <c r="A58" s="63" t="s">
        <v>118</v>
      </c>
      <c r="B58" s="64" t="s">
        <v>119</v>
      </c>
      <c r="C58" s="63" t="s">
        <v>120</v>
      </c>
      <c r="D58" s="63" t="s">
        <v>121</v>
      </c>
      <c r="E58" s="67" t="s">
        <v>122</v>
      </c>
      <c r="F58" s="67" t="s">
        <v>123</v>
      </c>
      <c r="G58" s="67" t="s">
        <v>124</v>
      </c>
      <c r="H58" s="63" t="s">
        <v>125</v>
      </c>
      <c r="I58" s="63" t="s">
        <v>126</v>
      </c>
      <c r="J58" s="63" t="s">
        <v>127</v>
      </c>
      <c r="K58" s="63" t="s">
        <v>77</v>
      </c>
      <c r="L58" s="63" t="s">
        <v>128</v>
      </c>
    </row>
    <row r="59" spans="1:12" ht="15.75" customHeight="1">
      <c r="A59" s="163" t="s">
        <v>227</v>
      </c>
      <c r="B59" s="164">
        <v>58</v>
      </c>
      <c r="C59" s="163">
        <v>100</v>
      </c>
      <c r="D59" s="163">
        <f>B59%*C59</f>
        <v>57.999999999999993</v>
      </c>
      <c r="E59" s="163">
        <v>1.6</v>
      </c>
      <c r="F59" s="163">
        <f>D59/E59</f>
        <v>36.249999999999993</v>
      </c>
      <c r="G59" s="164" t="s">
        <v>226</v>
      </c>
      <c r="H59" s="70">
        <v>103.3</v>
      </c>
      <c r="I59" s="21">
        <v>9.8000000000000007</v>
      </c>
      <c r="J59" s="21">
        <v>6.9</v>
      </c>
      <c r="K59" s="21">
        <v>0</v>
      </c>
      <c r="L59" s="21">
        <v>0</v>
      </c>
    </row>
    <row r="60" spans="1:12" ht="15.75" customHeight="1">
      <c r="A60" s="165" t="s">
        <v>228</v>
      </c>
      <c r="B60" s="160">
        <v>100</v>
      </c>
      <c r="C60" s="161">
        <v>50</v>
      </c>
      <c r="D60" s="162">
        <f t="shared" ref="D60:D62" si="17">B60%*C60</f>
        <v>50</v>
      </c>
      <c r="E60" s="162">
        <v>1.1000000000000001</v>
      </c>
      <c r="F60" s="162">
        <f t="shared" ref="F60:F62" si="18">D60/E60</f>
        <v>45.454545454545453</v>
      </c>
      <c r="G60" s="168" t="s">
        <v>229</v>
      </c>
      <c r="H60" s="71">
        <v>34.200000000000003</v>
      </c>
      <c r="I60" s="71">
        <v>3.6</v>
      </c>
      <c r="J60" s="71">
        <v>2.2000000000000002</v>
      </c>
      <c r="K60" s="71">
        <v>0.9</v>
      </c>
      <c r="L60" s="21">
        <v>0.5</v>
      </c>
    </row>
    <row r="61" spans="1:12" ht="15.75" customHeight="1">
      <c r="A61" s="40" t="s">
        <v>232</v>
      </c>
      <c r="B61" s="40">
        <v>100</v>
      </c>
      <c r="C61" s="169">
        <v>115</v>
      </c>
      <c r="D61" s="39">
        <f>B61%*C61</f>
        <v>115</v>
      </c>
      <c r="E61" s="39">
        <v>1</v>
      </c>
      <c r="F61" s="170">
        <f>D61/E61</f>
        <v>115</v>
      </c>
      <c r="G61" s="40" t="s">
        <v>233</v>
      </c>
      <c r="H61" s="171">
        <v>60</v>
      </c>
      <c r="I61" s="171">
        <v>3</v>
      </c>
      <c r="J61" s="171">
        <v>3</v>
      </c>
      <c r="K61" s="171">
        <v>6</v>
      </c>
      <c r="L61" s="172">
        <v>0</v>
      </c>
    </row>
    <row r="62" spans="1:12" ht="15.75" customHeight="1">
      <c r="A62" s="166" t="s">
        <v>222</v>
      </c>
      <c r="B62" s="68">
        <v>79</v>
      </c>
      <c r="C62" s="69">
        <v>35</v>
      </c>
      <c r="D62" s="47">
        <f t="shared" si="17"/>
        <v>27.650000000000002</v>
      </c>
      <c r="E62" s="47">
        <v>1</v>
      </c>
      <c r="F62" s="47">
        <f t="shared" si="18"/>
        <v>27.650000000000002</v>
      </c>
      <c r="G62" s="167" t="s">
        <v>230</v>
      </c>
      <c r="H62" s="39">
        <v>77</v>
      </c>
      <c r="I62" s="39">
        <v>0.8</v>
      </c>
      <c r="J62" s="39">
        <v>0.1</v>
      </c>
      <c r="K62" s="158">
        <v>20.3</v>
      </c>
      <c r="L62" s="21">
        <v>1</v>
      </c>
    </row>
    <row r="63" spans="1:12" ht="15.75" customHeight="1">
      <c r="A63" s="272" t="s">
        <v>129</v>
      </c>
      <c r="B63" s="239"/>
      <c r="C63" s="239"/>
      <c r="D63" s="239"/>
      <c r="E63" s="239"/>
      <c r="F63" s="239"/>
      <c r="G63" s="240"/>
      <c r="H63" s="73">
        <f>SUM(H59:H62)</f>
        <v>274.5</v>
      </c>
      <c r="I63" s="73">
        <f>SUM(I59:I62)</f>
        <v>17.2</v>
      </c>
      <c r="J63" s="73">
        <f>SUM(J59:J62)</f>
        <v>12.200000000000001</v>
      </c>
      <c r="K63" s="73">
        <f>SUM(K59:K62)</f>
        <v>27.200000000000003</v>
      </c>
      <c r="L63" s="73">
        <f>SUM(L59:L62)</f>
        <v>1.5</v>
      </c>
    </row>
    <row r="64" spans="1:12" ht="15.75" customHeight="1">
      <c r="A64" s="272" t="s">
        <v>133</v>
      </c>
      <c r="B64" s="239"/>
      <c r="C64" s="239"/>
      <c r="D64" s="239"/>
      <c r="E64" s="239"/>
      <c r="F64" s="239"/>
      <c r="G64" s="240"/>
      <c r="H64" s="74">
        <v>668</v>
      </c>
      <c r="I64" s="74">
        <v>20.3</v>
      </c>
      <c r="J64" s="74">
        <v>22.5</v>
      </c>
      <c r="K64" s="74">
        <v>97.5</v>
      </c>
      <c r="L64" s="21">
        <v>10</v>
      </c>
    </row>
    <row r="65" spans="1:12" ht="15.75" customHeight="1">
      <c r="A65" s="272" t="s">
        <v>131</v>
      </c>
      <c r="B65" s="239"/>
      <c r="C65" s="239"/>
      <c r="D65" s="239"/>
      <c r="E65" s="239"/>
      <c r="F65" s="239"/>
      <c r="G65" s="240"/>
      <c r="H65" s="75">
        <f t="shared" ref="H65:L65" si="19">(H63/H64)*100</f>
        <v>41.092814371257482</v>
      </c>
      <c r="I65" s="75">
        <f t="shared" si="19"/>
        <v>84.729064039408868</v>
      </c>
      <c r="J65" s="75">
        <f t="shared" si="19"/>
        <v>54.222222222222229</v>
      </c>
      <c r="K65" s="75">
        <f t="shared" si="19"/>
        <v>27.897435897435901</v>
      </c>
      <c r="L65" s="75">
        <f t="shared" si="19"/>
        <v>15</v>
      </c>
    </row>
    <row r="66" spans="1:12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</row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7">
    <mergeCell ref="A65:G65"/>
    <mergeCell ref="A52:G52"/>
    <mergeCell ref="A53:G53"/>
    <mergeCell ref="A54:G54"/>
    <mergeCell ref="A63:G63"/>
    <mergeCell ref="A64:G64"/>
    <mergeCell ref="A13:B13"/>
    <mergeCell ref="L2:M2"/>
    <mergeCell ref="F14:F16"/>
    <mergeCell ref="G14:G16"/>
    <mergeCell ref="H14:H16"/>
    <mergeCell ref="A16:D16"/>
    <mergeCell ref="A1:B2"/>
    <mergeCell ref="C1:D2"/>
    <mergeCell ref="E1:J2"/>
    <mergeCell ref="A3:B3"/>
    <mergeCell ref="C3:J12"/>
  </mergeCells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6"/>
  <sheetViews>
    <sheetView topLeftCell="A19" zoomScale="80" zoomScaleNormal="80" workbookViewId="0">
      <selection activeCell="A34" sqref="A34:L34"/>
    </sheetView>
  </sheetViews>
  <sheetFormatPr defaultColWidth="14.42578125" defaultRowHeight="15" customHeight="1"/>
  <cols>
    <col min="1" max="1" width="41.7109375" customWidth="1"/>
    <col min="2" max="2" width="21" customWidth="1"/>
    <col min="3" max="3" width="20.28515625" customWidth="1"/>
    <col min="4" max="4" width="13.42578125" customWidth="1"/>
    <col min="5" max="5" width="16.42578125" customWidth="1"/>
    <col min="6" max="6" width="18.85546875" customWidth="1"/>
    <col min="7" max="10" width="19" customWidth="1"/>
    <col min="11" max="11" width="12.5703125" customWidth="1"/>
    <col min="12" max="12" width="22" customWidth="1"/>
    <col min="13" max="13" width="8.7109375" customWidth="1"/>
  </cols>
  <sheetData>
    <row r="1" spans="1:13" ht="15.75" customHeight="1">
      <c r="A1" s="255">
        <v>1</v>
      </c>
      <c r="B1" s="256"/>
      <c r="C1" s="258"/>
      <c r="D1" s="256"/>
      <c r="E1" s="261"/>
      <c r="F1" s="262"/>
      <c r="G1" s="262"/>
      <c r="H1" s="262"/>
      <c r="I1" s="262"/>
      <c r="J1" s="263"/>
    </row>
    <row r="2" spans="1:13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</row>
    <row r="3" spans="1:13" ht="16.5" customHeight="1">
      <c r="A3" s="266" t="s">
        <v>0</v>
      </c>
      <c r="B3" s="267"/>
      <c r="C3" s="275"/>
      <c r="D3" s="269"/>
      <c r="E3" s="269"/>
      <c r="F3" s="269"/>
      <c r="G3" s="269"/>
      <c r="H3" s="269"/>
      <c r="I3" s="269"/>
      <c r="J3" s="256"/>
      <c r="L3" s="241" t="s">
        <v>63</v>
      </c>
      <c r="M3" s="240"/>
    </row>
    <row r="4" spans="1:13" ht="15.75">
      <c r="A4" s="78" t="s">
        <v>5</v>
      </c>
      <c r="B4" s="79" t="s">
        <v>6</v>
      </c>
      <c r="C4" s="252"/>
      <c r="D4" s="270"/>
      <c r="E4" s="270"/>
      <c r="F4" s="270"/>
      <c r="G4" s="270"/>
      <c r="H4" s="270"/>
      <c r="I4" s="270"/>
      <c r="J4" s="271"/>
      <c r="L4" s="9" t="s">
        <v>64</v>
      </c>
      <c r="M4" s="9">
        <v>1043</v>
      </c>
    </row>
    <row r="5" spans="1:13" ht="15.75">
      <c r="A5" s="2" t="s">
        <v>217</v>
      </c>
      <c r="B5" s="2" t="s">
        <v>218</v>
      </c>
      <c r="C5" s="252"/>
      <c r="D5" s="270"/>
      <c r="E5" s="270"/>
      <c r="F5" s="270"/>
      <c r="G5" s="270"/>
      <c r="H5" s="270"/>
      <c r="I5" s="270"/>
      <c r="J5" s="271"/>
      <c r="L5" s="9" t="s">
        <v>67</v>
      </c>
      <c r="M5" s="9">
        <f>1070+253+1</f>
        <v>1324</v>
      </c>
    </row>
    <row r="6" spans="1:13" ht="15.75">
      <c r="A6" s="2" t="s">
        <v>216</v>
      </c>
      <c r="B6" s="2" t="s">
        <v>216</v>
      </c>
      <c r="C6" s="252"/>
      <c r="D6" s="270"/>
      <c r="E6" s="270"/>
      <c r="F6" s="270"/>
      <c r="G6" s="270"/>
      <c r="H6" s="270"/>
      <c r="I6" s="270"/>
      <c r="J6" s="271"/>
      <c r="L6" s="9" t="s">
        <v>65</v>
      </c>
      <c r="M6" s="9">
        <v>204</v>
      </c>
    </row>
    <row r="7" spans="1:13" ht="15.75">
      <c r="A7" s="2" t="s">
        <v>220</v>
      </c>
      <c r="B7" s="2" t="s">
        <v>220</v>
      </c>
      <c r="C7" s="252"/>
      <c r="D7" s="270"/>
      <c r="E7" s="270"/>
      <c r="F7" s="270"/>
      <c r="G7" s="270"/>
      <c r="H7" s="270"/>
      <c r="I7" s="270"/>
      <c r="J7" s="271"/>
      <c r="L7" s="9" t="s">
        <v>66</v>
      </c>
      <c r="M7" s="9">
        <f>297+16+1</f>
        <v>314</v>
      </c>
    </row>
    <row r="8" spans="1:13" ht="15.75">
      <c r="A8" s="2"/>
      <c r="B8" s="2" t="s">
        <v>222</v>
      </c>
      <c r="C8" s="252"/>
      <c r="D8" s="270"/>
      <c r="E8" s="270"/>
      <c r="F8" s="270"/>
      <c r="G8" s="270"/>
      <c r="H8" s="270"/>
      <c r="I8" s="270"/>
      <c r="J8" s="271"/>
      <c r="L8" s="9" t="s">
        <v>70</v>
      </c>
      <c r="M8" s="9">
        <f>M7+M6</f>
        <v>518</v>
      </c>
    </row>
    <row r="9" spans="1:13" ht="15.75">
      <c r="A9" s="2"/>
      <c r="B9" s="2"/>
      <c r="C9" s="252"/>
      <c r="D9" s="270"/>
      <c r="E9" s="270"/>
      <c r="F9" s="270"/>
      <c r="G9" s="270"/>
      <c r="H9" s="270"/>
      <c r="I9" s="270"/>
      <c r="J9" s="271"/>
      <c r="L9" s="9" t="s">
        <v>71</v>
      </c>
      <c r="M9" s="9">
        <f>M6+M4</f>
        <v>1247</v>
      </c>
    </row>
    <row r="10" spans="1:13" ht="15.75">
      <c r="A10" s="3"/>
      <c r="B10" s="3"/>
      <c r="C10" s="252"/>
      <c r="D10" s="270"/>
      <c r="E10" s="270"/>
      <c r="F10" s="270"/>
      <c r="G10" s="270"/>
      <c r="H10" s="270"/>
      <c r="I10" s="270"/>
      <c r="J10" s="271"/>
      <c r="L10" s="9" t="s">
        <v>72</v>
      </c>
      <c r="M10" s="9">
        <f>M5+M7</f>
        <v>1638</v>
      </c>
    </row>
    <row r="11" spans="1:13" ht="15.75">
      <c r="A11" s="3"/>
      <c r="B11" s="3"/>
      <c r="C11" s="252"/>
      <c r="D11" s="270"/>
      <c r="E11" s="270"/>
      <c r="F11" s="270"/>
      <c r="G11" s="270"/>
      <c r="H11" s="270"/>
      <c r="I11" s="270"/>
      <c r="J11" s="271"/>
      <c r="L11" s="11" t="s">
        <v>73</v>
      </c>
      <c r="M11" s="11">
        <f>SUM(M4:M7)</f>
        <v>2885</v>
      </c>
    </row>
    <row r="12" spans="1:13" ht="15.75">
      <c r="A12" s="3"/>
      <c r="B12" s="3"/>
      <c r="C12" s="252"/>
      <c r="D12" s="270"/>
      <c r="E12" s="270"/>
      <c r="F12" s="270"/>
      <c r="G12" s="270"/>
      <c r="H12" s="270"/>
      <c r="I12" s="270"/>
      <c r="J12" s="271"/>
    </row>
    <row r="13" spans="1:13" ht="15.75">
      <c r="A13" s="3"/>
      <c r="B13" s="3"/>
      <c r="C13" s="252"/>
      <c r="D13" s="270"/>
      <c r="E13" s="270"/>
      <c r="F13" s="270"/>
      <c r="G13" s="270"/>
      <c r="H13" s="270"/>
      <c r="I13" s="270"/>
      <c r="J13" s="271"/>
    </row>
    <row r="14" spans="1:13" ht="15.75">
      <c r="A14" s="3"/>
      <c r="B14" s="3"/>
      <c r="C14" s="253"/>
      <c r="D14" s="264"/>
      <c r="E14" s="264"/>
      <c r="F14" s="264"/>
      <c r="G14" s="264"/>
      <c r="H14" s="264"/>
      <c r="I14" s="264"/>
      <c r="J14" s="257"/>
    </row>
    <row r="15" spans="1:13" ht="15.75">
      <c r="A15" s="276" t="s">
        <v>136</v>
      </c>
      <c r="B15" s="277"/>
      <c r="C15" s="17" t="s">
        <v>78</v>
      </c>
      <c r="D15" s="18" t="s">
        <v>79</v>
      </c>
      <c r="E15" s="17" t="s">
        <v>80</v>
      </c>
      <c r="F15" s="17" t="s">
        <v>81</v>
      </c>
      <c r="G15" s="19" t="s">
        <v>82</v>
      </c>
      <c r="H15" s="17" t="s">
        <v>83</v>
      </c>
      <c r="I15" s="17" t="s">
        <v>84</v>
      </c>
      <c r="J15" s="17" t="s">
        <v>85</v>
      </c>
    </row>
    <row r="16" spans="1:13" ht="15.75">
      <c r="A16" s="21"/>
      <c r="B16" s="22" t="s">
        <v>218</v>
      </c>
      <c r="C16" s="33">
        <v>1</v>
      </c>
      <c r="D16" s="24">
        <v>2367</v>
      </c>
      <c r="E16" s="25">
        <f t="shared" ref="E16" si="0">C16*D16</f>
        <v>2367</v>
      </c>
      <c r="F16" s="25">
        <f t="shared" ref="F16" si="1">((E16+E16*3%))</f>
        <v>2438.0100000000002</v>
      </c>
      <c r="G16" s="33">
        <f>F16</f>
        <v>2438.0100000000002</v>
      </c>
      <c r="H16" s="25" t="s">
        <v>95</v>
      </c>
      <c r="I16" s="111">
        <v>2100</v>
      </c>
      <c r="J16" s="112">
        <f>G16*I16</f>
        <v>5119821</v>
      </c>
      <c r="K16" s="118">
        <f>E16/1000</f>
        <v>2.367</v>
      </c>
    </row>
    <row r="17" spans="1:12" ht="15.75">
      <c r="A17" s="21"/>
      <c r="B17" s="22"/>
      <c r="C17" s="33"/>
      <c r="D17" s="24"/>
      <c r="E17" s="25"/>
      <c r="F17" s="25"/>
      <c r="G17" s="33"/>
      <c r="H17" s="25"/>
      <c r="I17" s="111"/>
      <c r="J17" s="112">
        <f t="shared" ref="J17:J26" si="2">G17*I17</f>
        <v>0</v>
      </c>
      <c r="K17" s="118">
        <f t="shared" ref="K17:K27" si="3">E17/1000</f>
        <v>0</v>
      </c>
    </row>
    <row r="18" spans="1:12" ht="15.75">
      <c r="A18" s="29" t="s">
        <v>87</v>
      </c>
      <c r="B18" s="30"/>
      <c r="C18" s="30"/>
      <c r="D18" s="30"/>
      <c r="E18" s="30"/>
      <c r="F18" s="30"/>
      <c r="G18" s="30"/>
      <c r="H18" s="116"/>
      <c r="I18" s="114"/>
      <c r="J18" s="112">
        <f t="shared" si="2"/>
        <v>0</v>
      </c>
      <c r="K18" s="118">
        <f t="shared" si="3"/>
        <v>0</v>
      </c>
    </row>
    <row r="19" spans="1:12" ht="15.75">
      <c r="A19" s="21" t="s">
        <v>88</v>
      </c>
      <c r="B19" s="22" t="s">
        <v>219</v>
      </c>
      <c r="C19" s="31">
        <v>1</v>
      </c>
      <c r="D19" s="9">
        <v>2367</v>
      </c>
      <c r="E19" s="32">
        <f t="shared" ref="E19:E20" si="4">C19*D19</f>
        <v>2367</v>
      </c>
      <c r="F19" s="25">
        <f>(E19+(E19*3%))</f>
        <v>2438.0100000000002</v>
      </c>
      <c r="G19" s="33">
        <f>+F19</f>
        <v>2438.0100000000002</v>
      </c>
      <c r="H19" s="28" t="s">
        <v>86</v>
      </c>
      <c r="I19" s="111">
        <v>3500</v>
      </c>
      <c r="J19" s="112">
        <f t="shared" si="2"/>
        <v>8533035</v>
      </c>
      <c r="K19" s="118">
        <f t="shared" si="3"/>
        <v>2.367</v>
      </c>
    </row>
    <row r="20" spans="1:12" ht="15.75" customHeight="1">
      <c r="A20" s="21" t="s">
        <v>90</v>
      </c>
      <c r="B20" s="22"/>
      <c r="C20" s="31">
        <v>0</v>
      </c>
      <c r="D20" s="9">
        <f>1070+253+1</f>
        <v>1324</v>
      </c>
      <c r="E20" s="32">
        <f t="shared" si="4"/>
        <v>0</v>
      </c>
      <c r="F20" s="25">
        <f t="shared" ref="F20" si="5">(E20+(E20*4%))</f>
        <v>0</v>
      </c>
      <c r="G20" s="33">
        <f t="shared" ref="G20" si="6">+F20/1000</f>
        <v>0</v>
      </c>
      <c r="H20" s="28" t="s">
        <v>86</v>
      </c>
      <c r="I20" s="111"/>
      <c r="J20" s="112">
        <f t="shared" si="2"/>
        <v>0</v>
      </c>
      <c r="K20" s="118">
        <f t="shared" si="3"/>
        <v>0</v>
      </c>
    </row>
    <row r="21" spans="1:12" ht="15.75" customHeight="1">
      <c r="A21" s="36" t="s">
        <v>92</v>
      </c>
      <c r="B21" s="37"/>
      <c r="C21" s="37"/>
      <c r="D21" s="37"/>
      <c r="E21" s="37"/>
      <c r="F21" s="37"/>
      <c r="G21" s="37"/>
      <c r="H21" s="117"/>
      <c r="I21" s="114"/>
      <c r="J21" s="112">
        <f t="shared" si="2"/>
        <v>0</v>
      </c>
      <c r="K21" s="118">
        <f t="shared" si="3"/>
        <v>0</v>
      </c>
    </row>
    <row r="22" spans="1:12" ht="15.75" customHeight="1">
      <c r="A22" s="21"/>
      <c r="B22" s="22"/>
      <c r="C22" s="33">
        <v>1</v>
      </c>
      <c r="D22" s="24">
        <v>2367</v>
      </c>
      <c r="E22" s="25">
        <f>C22*D22</f>
        <v>2367</v>
      </c>
      <c r="F22" s="25">
        <f>(E22+(E22*3%))</f>
        <v>2438.0100000000002</v>
      </c>
      <c r="G22" s="33">
        <f>F22</f>
        <v>2438.0100000000002</v>
      </c>
      <c r="H22" s="28" t="s">
        <v>95</v>
      </c>
      <c r="I22" s="111"/>
      <c r="J22" s="112">
        <f t="shared" si="2"/>
        <v>0</v>
      </c>
      <c r="K22" s="118">
        <f t="shared" si="3"/>
        <v>2.367</v>
      </c>
    </row>
    <row r="23" spans="1:12" ht="15.75" customHeight="1">
      <c r="A23" s="41" t="s">
        <v>96</v>
      </c>
      <c r="B23" s="42"/>
      <c r="C23" s="42"/>
      <c r="D23" s="42"/>
      <c r="E23" s="42"/>
      <c r="F23" s="42"/>
      <c r="G23" s="42"/>
      <c r="H23" s="107"/>
      <c r="I23" s="114"/>
      <c r="J23" s="112">
        <f t="shared" si="2"/>
        <v>0</v>
      </c>
      <c r="K23" s="118">
        <f t="shared" si="3"/>
        <v>0</v>
      </c>
    </row>
    <row r="24" spans="1:12" ht="15.75" customHeight="1">
      <c r="A24" s="44" t="s">
        <v>97</v>
      </c>
      <c r="B24" s="80"/>
      <c r="C24" s="45"/>
      <c r="D24" s="45"/>
      <c r="E24" s="45"/>
      <c r="F24" s="45"/>
      <c r="G24" s="45"/>
      <c r="H24" s="108"/>
      <c r="I24" s="114"/>
      <c r="J24" s="112">
        <f t="shared" si="2"/>
        <v>0</v>
      </c>
      <c r="K24" s="118">
        <f t="shared" si="3"/>
        <v>0</v>
      </c>
    </row>
    <row r="25" spans="1:12" ht="15.75" customHeight="1">
      <c r="A25" s="81" t="s">
        <v>221</v>
      </c>
      <c r="B25" s="82" t="s">
        <v>140</v>
      </c>
      <c r="C25" s="33">
        <v>35</v>
      </c>
      <c r="D25" s="24">
        <v>1324</v>
      </c>
      <c r="E25" s="25">
        <f t="shared" ref="E25:E26" si="7">C25*D25</f>
        <v>46340</v>
      </c>
      <c r="F25" s="25">
        <f t="shared" ref="F25:F26" si="8">(E25+(E25*3%))</f>
        <v>47730.2</v>
      </c>
      <c r="G25" s="33">
        <f>F25/1000</f>
        <v>47.730199999999996</v>
      </c>
      <c r="H25" s="28" t="s">
        <v>156</v>
      </c>
      <c r="I25" s="111">
        <v>40000</v>
      </c>
      <c r="J25" s="112">
        <f t="shared" si="2"/>
        <v>1909207.9999999998</v>
      </c>
      <c r="K25" s="118">
        <f t="shared" si="3"/>
        <v>46.34</v>
      </c>
    </row>
    <row r="26" spans="1:12" ht="15.75" customHeight="1">
      <c r="A26" s="81"/>
      <c r="B26" s="82" t="s">
        <v>220</v>
      </c>
      <c r="C26" s="33">
        <v>1</v>
      </c>
      <c r="D26" s="47">
        <v>2367</v>
      </c>
      <c r="E26" s="25">
        <f t="shared" si="7"/>
        <v>2367</v>
      </c>
      <c r="F26" s="25">
        <f t="shared" si="8"/>
        <v>2438.0100000000002</v>
      </c>
      <c r="G26" s="33">
        <f>+F26</f>
        <v>2438.0100000000002</v>
      </c>
      <c r="H26" s="28" t="s">
        <v>95</v>
      </c>
      <c r="I26" s="111">
        <v>4500</v>
      </c>
      <c r="J26" s="112">
        <f t="shared" si="2"/>
        <v>10971045.000000002</v>
      </c>
      <c r="K26" s="118">
        <f t="shared" si="3"/>
        <v>2.367</v>
      </c>
    </row>
    <row r="27" spans="1:12" ht="15.75" customHeight="1">
      <c r="A27" s="48"/>
      <c r="B27" s="83"/>
      <c r="C27" s="49"/>
      <c r="D27" s="49"/>
      <c r="E27" s="49"/>
      <c r="F27" s="49"/>
      <c r="G27" s="49"/>
      <c r="H27" s="109"/>
      <c r="I27" s="114"/>
      <c r="J27" s="115">
        <f>SUM(J16:J26)</f>
        <v>26533109</v>
      </c>
      <c r="K27" s="118">
        <f t="shared" si="3"/>
        <v>0</v>
      </c>
    </row>
    <row r="28" spans="1:12" ht="15.75" customHeight="1">
      <c r="A28" s="26"/>
      <c r="B28" s="26" t="s">
        <v>147</v>
      </c>
      <c r="C28" s="21">
        <v>1</v>
      </c>
      <c r="D28" s="26">
        <v>1324</v>
      </c>
      <c r="E28" s="53">
        <f t="shared" ref="E28" si="9">C28*D28</f>
        <v>1324</v>
      </c>
      <c r="F28" s="53">
        <f t="shared" ref="F28" si="10">(E28+(E28*3%))</f>
        <v>1363.72</v>
      </c>
      <c r="G28" s="54">
        <f t="shared" ref="G28" si="11">F28</f>
        <v>1363.72</v>
      </c>
      <c r="H28" s="56" t="s">
        <v>94</v>
      </c>
      <c r="I28" s="26"/>
      <c r="J28" s="87"/>
    </row>
    <row r="29" spans="1:12" ht="15.75" customHeight="1">
      <c r="A29" s="57"/>
      <c r="B29" s="57"/>
      <c r="C29" s="57"/>
      <c r="D29" s="57"/>
      <c r="E29" s="57"/>
      <c r="F29" s="57"/>
      <c r="G29" s="57"/>
      <c r="H29" s="60"/>
      <c r="I29" s="57"/>
    </row>
    <row r="30" spans="1:12" ht="15.75" customHeight="1">
      <c r="A30" s="57"/>
      <c r="B30" s="57"/>
      <c r="C30" s="57"/>
      <c r="D30" s="57"/>
      <c r="E30" s="57"/>
      <c r="F30" s="57"/>
      <c r="G30" s="57"/>
      <c r="H30" s="60"/>
      <c r="I30" s="57"/>
    </row>
    <row r="31" spans="1:12" ht="15.75" customHeight="1">
      <c r="A31" s="61" t="s">
        <v>117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</row>
    <row r="32" spans="1:12" ht="20.25" customHeight="1">
      <c r="A32" s="63" t="s">
        <v>118</v>
      </c>
      <c r="B32" s="64" t="s">
        <v>119</v>
      </c>
      <c r="C32" s="63" t="s">
        <v>120</v>
      </c>
      <c r="D32" s="65" t="s">
        <v>121</v>
      </c>
      <c r="E32" s="66" t="s">
        <v>122</v>
      </c>
      <c r="F32" s="66" t="s">
        <v>123</v>
      </c>
      <c r="G32" s="67" t="s">
        <v>124</v>
      </c>
      <c r="H32" s="63" t="s">
        <v>125</v>
      </c>
      <c r="I32" s="63" t="s">
        <v>126</v>
      </c>
      <c r="J32" s="63" t="s">
        <v>127</v>
      </c>
      <c r="K32" s="63" t="s">
        <v>77</v>
      </c>
      <c r="L32" s="63" t="s">
        <v>128</v>
      </c>
    </row>
    <row r="33" spans="1:12" ht="20.25" customHeight="1">
      <c r="A33" s="2" t="s">
        <v>217</v>
      </c>
      <c r="B33" s="40">
        <v>100</v>
      </c>
      <c r="C33" s="169">
        <v>115</v>
      </c>
      <c r="D33" s="39">
        <f>B33%*C33</f>
        <v>115</v>
      </c>
      <c r="E33" s="39">
        <v>1</v>
      </c>
      <c r="F33" s="170">
        <f>D33/E33</f>
        <v>115</v>
      </c>
      <c r="G33" s="40" t="s">
        <v>233</v>
      </c>
      <c r="H33" s="171">
        <v>60</v>
      </c>
      <c r="I33" s="171">
        <v>3</v>
      </c>
      <c r="J33" s="171">
        <v>3</v>
      </c>
      <c r="K33" s="171">
        <v>6</v>
      </c>
      <c r="L33" s="172">
        <v>0</v>
      </c>
    </row>
    <row r="34" spans="1:12" ht="20.25" customHeight="1">
      <c r="A34" s="2" t="s">
        <v>245</v>
      </c>
      <c r="B34" s="40">
        <v>100</v>
      </c>
      <c r="C34" s="169">
        <v>115</v>
      </c>
      <c r="D34" s="39">
        <f>B34%*C34</f>
        <v>115</v>
      </c>
      <c r="E34" s="39">
        <v>1</v>
      </c>
      <c r="F34" s="170">
        <f>D34/E34</f>
        <v>115</v>
      </c>
      <c r="G34" s="40" t="s">
        <v>233</v>
      </c>
      <c r="H34" s="171">
        <v>70</v>
      </c>
      <c r="I34" s="171">
        <v>3</v>
      </c>
      <c r="J34" s="171">
        <v>3.5</v>
      </c>
      <c r="K34" s="171">
        <v>6</v>
      </c>
      <c r="L34" s="172">
        <v>0</v>
      </c>
    </row>
    <row r="35" spans="1:12" ht="20.25" customHeight="1">
      <c r="A35" s="2" t="s">
        <v>220</v>
      </c>
      <c r="B35" s="68">
        <v>66.5</v>
      </c>
      <c r="C35" s="69">
        <v>250</v>
      </c>
      <c r="D35" s="47">
        <f t="shared" ref="D35" si="12">B35%*C35</f>
        <v>166.25</v>
      </c>
      <c r="E35" s="47">
        <v>1</v>
      </c>
      <c r="F35" s="47">
        <f t="shared" ref="F35" si="13">D35/E35</f>
        <v>166.25</v>
      </c>
      <c r="G35" s="21" t="s">
        <v>247</v>
      </c>
      <c r="H35" s="33">
        <v>71</v>
      </c>
      <c r="I35" s="33">
        <v>1.7</v>
      </c>
      <c r="J35" s="33">
        <v>3.1</v>
      </c>
      <c r="K35" s="33">
        <v>9.1</v>
      </c>
      <c r="L35" s="21">
        <v>3.2</v>
      </c>
    </row>
    <row r="36" spans="1:12" ht="15.75" customHeight="1">
      <c r="A36" s="272" t="s">
        <v>129</v>
      </c>
      <c r="B36" s="239"/>
      <c r="C36" s="239"/>
      <c r="D36" s="239"/>
      <c r="E36" s="239"/>
      <c r="F36" s="239"/>
      <c r="G36" s="240"/>
      <c r="H36" s="73">
        <f>SUM(H33:H35)</f>
        <v>201</v>
      </c>
      <c r="I36" s="73">
        <f>SUM(I33:I35)</f>
        <v>7.7</v>
      </c>
      <c r="J36" s="73">
        <f>SUM(J33:J35)</f>
        <v>9.6</v>
      </c>
      <c r="K36" s="73">
        <f>SUM(K33:K35)</f>
        <v>21.1</v>
      </c>
      <c r="L36" s="73">
        <f>SUM(L33:L35)</f>
        <v>3.2</v>
      </c>
    </row>
    <row r="37" spans="1:12" ht="15.75" customHeight="1">
      <c r="A37" s="272" t="s">
        <v>130</v>
      </c>
      <c r="B37" s="239"/>
      <c r="C37" s="239"/>
      <c r="D37" s="239"/>
      <c r="E37" s="239"/>
      <c r="F37" s="239"/>
      <c r="G37" s="240"/>
      <c r="H37" s="74">
        <v>330</v>
      </c>
      <c r="I37" s="74">
        <v>8</v>
      </c>
      <c r="J37" s="74">
        <v>11</v>
      </c>
      <c r="K37" s="74">
        <v>50</v>
      </c>
      <c r="L37" s="21">
        <v>4</v>
      </c>
    </row>
    <row r="38" spans="1:12" ht="15.75" customHeight="1">
      <c r="A38" s="272" t="s">
        <v>131</v>
      </c>
      <c r="B38" s="239"/>
      <c r="C38" s="239"/>
      <c r="D38" s="239"/>
      <c r="E38" s="239"/>
      <c r="F38" s="239"/>
      <c r="G38" s="240"/>
      <c r="H38" s="75">
        <f t="shared" ref="H38:L38" si="14">(H36/H37)*100</f>
        <v>60.909090909090914</v>
      </c>
      <c r="I38" s="75">
        <f t="shared" si="14"/>
        <v>96.25</v>
      </c>
      <c r="J38" s="75">
        <f t="shared" si="14"/>
        <v>87.272727272727266</v>
      </c>
      <c r="K38" s="75">
        <f t="shared" si="14"/>
        <v>42.2</v>
      </c>
      <c r="L38" s="75">
        <f t="shared" si="14"/>
        <v>80</v>
      </c>
    </row>
    <row r="39" spans="1:12" ht="15.75" customHeight="1">
      <c r="A39" s="76"/>
      <c r="B39" s="76"/>
      <c r="C39" s="76"/>
      <c r="D39" s="76"/>
      <c r="E39" s="76"/>
      <c r="F39" s="76"/>
      <c r="G39" s="76"/>
      <c r="H39" s="76"/>
      <c r="I39" s="77"/>
      <c r="J39" s="77"/>
      <c r="K39" s="57"/>
      <c r="L39" s="57"/>
    </row>
    <row r="40" spans="1:12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</row>
    <row r="41" spans="1:12" ht="15.75" customHeight="1">
      <c r="A41" s="61" t="s">
        <v>132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</row>
    <row r="42" spans="1:12" ht="15.75" customHeight="1">
      <c r="A42" s="63" t="s">
        <v>118</v>
      </c>
      <c r="B42" s="64" t="s">
        <v>119</v>
      </c>
      <c r="C42" s="63" t="s">
        <v>120</v>
      </c>
      <c r="D42" s="63" t="s">
        <v>121</v>
      </c>
      <c r="E42" s="67" t="s">
        <v>122</v>
      </c>
      <c r="F42" s="67" t="s">
        <v>123</v>
      </c>
      <c r="G42" s="67" t="s">
        <v>124</v>
      </c>
      <c r="H42" s="63" t="s">
        <v>125</v>
      </c>
      <c r="I42" s="63" t="s">
        <v>126</v>
      </c>
      <c r="J42" s="63" t="s">
        <v>127</v>
      </c>
      <c r="K42" s="63" t="s">
        <v>77</v>
      </c>
      <c r="L42" s="63" t="s">
        <v>128</v>
      </c>
    </row>
    <row r="43" spans="1:12" ht="15.75" customHeight="1">
      <c r="A43" s="2" t="s">
        <v>217</v>
      </c>
      <c r="B43" s="40">
        <v>100</v>
      </c>
      <c r="C43" s="169">
        <v>115</v>
      </c>
      <c r="D43" s="39">
        <f>B43%*C43</f>
        <v>115</v>
      </c>
      <c r="E43" s="39">
        <v>1</v>
      </c>
      <c r="F43" s="170">
        <f>D43/E43</f>
        <v>115</v>
      </c>
      <c r="G43" s="40" t="s">
        <v>233</v>
      </c>
      <c r="H43" s="171">
        <v>60</v>
      </c>
      <c r="I43" s="171">
        <v>3</v>
      </c>
      <c r="J43" s="171">
        <v>3</v>
      </c>
      <c r="K43" s="171">
        <v>6</v>
      </c>
      <c r="L43" s="172">
        <v>0</v>
      </c>
    </row>
    <row r="44" spans="1:12" ht="15.75" customHeight="1">
      <c r="A44" s="2" t="s">
        <v>219</v>
      </c>
      <c r="B44" s="40">
        <v>100</v>
      </c>
      <c r="C44" s="169">
        <v>115</v>
      </c>
      <c r="D44" s="39">
        <f>B44%*C44</f>
        <v>115</v>
      </c>
      <c r="E44" s="39">
        <v>1</v>
      </c>
      <c r="F44" s="170">
        <f>D44/E44</f>
        <v>115</v>
      </c>
      <c r="G44" s="40" t="s">
        <v>233</v>
      </c>
      <c r="H44" s="171">
        <v>70</v>
      </c>
      <c r="I44" s="171">
        <v>3</v>
      </c>
      <c r="J44" s="171">
        <v>3.5</v>
      </c>
      <c r="K44" s="171">
        <v>6</v>
      </c>
      <c r="L44" s="172">
        <v>0</v>
      </c>
    </row>
    <row r="45" spans="1:12" ht="15.75" customHeight="1">
      <c r="A45" s="2" t="s">
        <v>220</v>
      </c>
      <c r="B45" s="68">
        <v>66.5</v>
      </c>
      <c r="C45" s="69">
        <v>250</v>
      </c>
      <c r="D45" s="47">
        <f t="shared" ref="D45" si="15">B45%*C45</f>
        <v>166.25</v>
      </c>
      <c r="E45" s="47">
        <v>1</v>
      </c>
      <c r="F45" s="47">
        <f t="shared" ref="F45" si="16">D45/E45</f>
        <v>166.25</v>
      </c>
      <c r="G45" s="21" t="s">
        <v>247</v>
      </c>
      <c r="H45" s="33">
        <v>71</v>
      </c>
      <c r="I45" s="33">
        <v>1.7</v>
      </c>
      <c r="J45" s="33">
        <v>3.1</v>
      </c>
      <c r="K45" s="33">
        <v>9.1</v>
      </c>
      <c r="L45" s="21">
        <v>3.2</v>
      </c>
    </row>
    <row r="46" spans="1:12" ht="15.75" customHeight="1">
      <c r="A46" s="39" t="s">
        <v>244</v>
      </c>
      <c r="B46" s="68">
        <v>79</v>
      </c>
      <c r="C46" s="69">
        <v>35</v>
      </c>
      <c r="D46" s="47">
        <f t="shared" ref="D46" si="17">B46%*C46</f>
        <v>27.650000000000002</v>
      </c>
      <c r="E46" s="47">
        <v>1</v>
      </c>
      <c r="F46" s="47">
        <f t="shared" ref="F46" si="18">D46/E46</f>
        <v>27.650000000000002</v>
      </c>
      <c r="G46" s="21" t="s">
        <v>250</v>
      </c>
      <c r="H46" s="39">
        <v>78.099999999999994</v>
      </c>
      <c r="I46" s="39">
        <v>0.8</v>
      </c>
      <c r="J46" s="39">
        <v>0.1</v>
      </c>
      <c r="K46" s="28">
        <v>20.6</v>
      </c>
      <c r="L46" s="21">
        <v>1</v>
      </c>
    </row>
    <row r="47" spans="1:12" ht="15.75" customHeight="1">
      <c r="A47" s="272" t="s">
        <v>129</v>
      </c>
      <c r="B47" s="239"/>
      <c r="C47" s="239"/>
      <c r="D47" s="239"/>
      <c r="E47" s="239"/>
      <c r="F47" s="239"/>
      <c r="G47" s="240"/>
      <c r="H47" s="73">
        <f>SUM(H43:H46)</f>
        <v>279.10000000000002</v>
      </c>
      <c r="I47" s="73">
        <f>SUM(I43:I46)</f>
        <v>8.5</v>
      </c>
      <c r="J47" s="73">
        <f>SUM(J43:J46)</f>
        <v>9.6999999999999993</v>
      </c>
      <c r="K47" s="73">
        <f>SUM(K43:K46)</f>
        <v>41.7</v>
      </c>
      <c r="L47" s="73">
        <f>SUM(L43:L46)</f>
        <v>4.2</v>
      </c>
    </row>
    <row r="48" spans="1:12" ht="15.75" customHeight="1">
      <c r="A48" s="272" t="s">
        <v>133</v>
      </c>
      <c r="B48" s="239"/>
      <c r="C48" s="239"/>
      <c r="D48" s="239"/>
      <c r="E48" s="239"/>
      <c r="F48" s="239"/>
      <c r="G48" s="240"/>
      <c r="H48" s="74">
        <v>668</v>
      </c>
      <c r="I48" s="74">
        <v>20.3</v>
      </c>
      <c r="J48" s="74">
        <v>22.5</v>
      </c>
      <c r="K48" s="74">
        <v>97.5</v>
      </c>
      <c r="L48" s="21">
        <v>10</v>
      </c>
    </row>
    <row r="49" spans="1:12" ht="15.75" customHeight="1">
      <c r="A49" s="272" t="s">
        <v>131</v>
      </c>
      <c r="B49" s="239"/>
      <c r="C49" s="239"/>
      <c r="D49" s="239"/>
      <c r="E49" s="239"/>
      <c r="F49" s="239"/>
      <c r="G49" s="240"/>
      <c r="H49" s="75">
        <f t="shared" ref="H49:L49" si="19">(H47/H48)*100</f>
        <v>41.781437125748504</v>
      </c>
      <c r="I49" s="75">
        <f t="shared" si="19"/>
        <v>41.871921182266007</v>
      </c>
      <c r="J49" s="75">
        <f t="shared" si="19"/>
        <v>43.111111111111107</v>
      </c>
      <c r="K49" s="75">
        <f t="shared" si="19"/>
        <v>42.769230769230774</v>
      </c>
      <c r="L49" s="75">
        <f t="shared" si="19"/>
        <v>42.000000000000007</v>
      </c>
    </row>
    <row r="50" spans="1:12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</row>
    <row r="51" spans="1:12" ht="15.75" customHeight="1"/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3">
    <mergeCell ref="A49:G49"/>
    <mergeCell ref="A36:G36"/>
    <mergeCell ref="A37:G37"/>
    <mergeCell ref="A15:B15"/>
    <mergeCell ref="L3:M3"/>
    <mergeCell ref="A38:G38"/>
    <mergeCell ref="A47:G47"/>
    <mergeCell ref="A48:G48"/>
    <mergeCell ref="A1:B2"/>
    <mergeCell ref="C1:D2"/>
    <mergeCell ref="E1:J2"/>
    <mergeCell ref="A3:B3"/>
    <mergeCell ref="C3:J1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8"/>
  <sheetViews>
    <sheetView topLeftCell="A50" zoomScale="80" zoomScaleNormal="80" workbookViewId="0">
      <selection activeCell="A59" sqref="A59:L59"/>
    </sheetView>
  </sheetViews>
  <sheetFormatPr defaultColWidth="14.42578125" defaultRowHeight="15" customHeight="1"/>
  <cols>
    <col min="1" max="1" width="41.7109375" customWidth="1"/>
    <col min="2" max="2" width="25.85546875" customWidth="1"/>
    <col min="3" max="3" width="20.28515625" customWidth="1"/>
    <col min="4" max="4" width="13.42578125" customWidth="1"/>
    <col min="5" max="5" width="16.42578125" customWidth="1"/>
    <col min="6" max="6" width="18.85546875" customWidth="1"/>
    <col min="7" max="7" width="15" customWidth="1"/>
    <col min="8" max="8" width="7.5703125" customWidth="1"/>
    <col min="9" max="9" width="12" customWidth="1"/>
    <col min="10" max="10" width="11" customWidth="1"/>
    <col min="11" max="11" width="11.42578125" customWidth="1"/>
    <col min="12" max="12" width="9.28515625" customWidth="1"/>
    <col min="13" max="13" width="10.28515625" customWidth="1"/>
  </cols>
  <sheetData>
    <row r="1" spans="1:15" ht="15.75" customHeight="1">
      <c r="A1" s="255">
        <v>1</v>
      </c>
      <c r="B1" s="256"/>
      <c r="C1" s="258"/>
      <c r="D1" s="256"/>
      <c r="E1" s="261"/>
      <c r="F1" s="262"/>
      <c r="G1" s="262"/>
      <c r="H1" s="262"/>
      <c r="I1" s="262"/>
      <c r="J1" s="263"/>
    </row>
    <row r="2" spans="1:15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</row>
    <row r="3" spans="1:15" ht="16.5" customHeight="1">
      <c r="A3" s="266" t="s">
        <v>0</v>
      </c>
      <c r="B3" s="267"/>
      <c r="C3" s="275"/>
      <c r="D3" s="269"/>
      <c r="E3" s="269"/>
      <c r="F3" s="269"/>
      <c r="G3" s="269"/>
      <c r="H3" s="269"/>
      <c r="I3" s="269"/>
      <c r="J3" s="256"/>
      <c r="L3" s="241" t="s">
        <v>63</v>
      </c>
      <c r="M3" s="240"/>
    </row>
    <row r="4" spans="1:15" ht="15.75">
      <c r="A4" s="78" t="s">
        <v>5</v>
      </c>
      <c r="B4" s="79" t="s">
        <v>6</v>
      </c>
      <c r="C4" s="252"/>
      <c r="D4" s="270"/>
      <c r="E4" s="270"/>
      <c r="F4" s="270"/>
      <c r="G4" s="270"/>
      <c r="H4" s="270"/>
      <c r="I4" s="270"/>
      <c r="J4" s="271"/>
      <c r="L4" s="9" t="s">
        <v>64</v>
      </c>
      <c r="M4" s="9">
        <v>1043</v>
      </c>
    </row>
    <row r="5" spans="1:15" ht="15.75">
      <c r="A5" s="2" t="s">
        <v>10</v>
      </c>
      <c r="B5" s="2" t="s">
        <v>10</v>
      </c>
      <c r="C5" s="252"/>
      <c r="D5" s="270"/>
      <c r="E5" s="270"/>
      <c r="F5" s="270"/>
      <c r="G5" s="270"/>
      <c r="H5" s="270"/>
      <c r="I5" s="270"/>
      <c r="J5" s="271"/>
      <c r="L5" s="9" t="s">
        <v>67</v>
      </c>
      <c r="M5" s="9">
        <f>1070+253+1</f>
        <v>1324</v>
      </c>
    </row>
    <row r="6" spans="1:15" ht="15.75">
      <c r="A6" s="2" t="s">
        <v>15</v>
      </c>
      <c r="B6" s="2" t="s">
        <v>15</v>
      </c>
      <c r="C6" s="252"/>
      <c r="D6" s="270"/>
      <c r="E6" s="270"/>
      <c r="F6" s="270"/>
      <c r="G6" s="270"/>
      <c r="H6" s="270"/>
      <c r="I6" s="270"/>
      <c r="J6" s="271"/>
      <c r="L6" s="9" t="s">
        <v>65</v>
      </c>
      <c r="M6" s="9">
        <v>204</v>
      </c>
      <c r="N6" s="110">
        <f>M6*8000</f>
        <v>1632000</v>
      </c>
    </row>
    <row r="7" spans="1:15" ht="31.5">
      <c r="A7" s="2" t="s">
        <v>213</v>
      </c>
      <c r="B7" s="2" t="s">
        <v>213</v>
      </c>
      <c r="C7" s="252"/>
      <c r="D7" s="270"/>
      <c r="E7" s="270"/>
      <c r="F7" s="270"/>
      <c r="G7" s="270"/>
      <c r="H7" s="270"/>
      <c r="I7" s="270"/>
      <c r="J7" s="271"/>
      <c r="L7" s="9" t="s">
        <v>66</v>
      </c>
      <c r="M7" s="9">
        <f>297+16+1</f>
        <v>314</v>
      </c>
      <c r="N7" s="110">
        <f>M7*10000</f>
        <v>3140000</v>
      </c>
    </row>
    <row r="8" spans="1:15" ht="15.75">
      <c r="A8" s="2" t="s">
        <v>36</v>
      </c>
      <c r="B8" s="2" t="s">
        <v>36</v>
      </c>
      <c r="C8" s="252"/>
      <c r="D8" s="270"/>
      <c r="E8" s="270"/>
      <c r="F8" s="270"/>
      <c r="G8" s="270"/>
      <c r="H8" s="270"/>
      <c r="I8" s="270"/>
      <c r="J8" s="271"/>
      <c r="L8" s="9" t="s">
        <v>70</v>
      </c>
      <c r="M8" s="9">
        <f>M7+M6</f>
        <v>518</v>
      </c>
      <c r="N8" s="110">
        <f>N6+N7</f>
        <v>4772000</v>
      </c>
      <c r="O8" s="110">
        <f>N8*3</f>
        <v>14316000</v>
      </c>
    </row>
    <row r="9" spans="1:15" ht="15.75">
      <c r="A9" s="2" t="s">
        <v>40</v>
      </c>
      <c r="B9" s="2" t="s">
        <v>40</v>
      </c>
      <c r="C9" s="252"/>
      <c r="D9" s="270"/>
      <c r="E9" s="270"/>
      <c r="F9" s="270"/>
      <c r="G9" s="270"/>
      <c r="H9" s="270"/>
      <c r="I9" s="270"/>
      <c r="J9" s="271"/>
      <c r="L9" s="9" t="s">
        <v>71</v>
      </c>
      <c r="M9" s="9">
        <f>M6+M4</f>
        <v>1247</v>
      </c>
    </row>
    <row r="10" spans="1:15" ht="15.75">
      <c r="A10" s="2" t="s">
        <v>214</v>
      </c>
      <c r="B10" s="2" t="s">
        <v>74</v>
      </c>
      <c r="C10" s="252"/>
      <c r="D10" s="270"/>
      <c r="E10" s="270"/>
      <c r="F10" s="270"/>
      <c r="G10" s="270"/>
      <c r="H10" s="270"/>
      <c r="I10" s="270"/>
      <c r="J10" s="271"/>
      <c r="L10" s="9" t="s">
        <v>72</v>
      </c>
      <c r="M10" s="9">
        <f>M5+M7</f>
        <v>1638</v>
      </c>
    </row>
    <row r="11" spans="1:15" ht="15.75">
      <c r="A11" s="5"/>
      <c r="B11" s="2"/>
      <c r="C11" s="252"/>
      <c r="D11" s="270"/>
      <c r="E11" s="270"/>
      <c r="F11" s="270"/>
      <c r="G11" s="270"/>
      <c r="H11" s="270"/>
      <c r="I11" s="270"/>
      <c r="J11" s="271"/>
      <c r="L11" s="11" t="s">
        <v>73</v>
      </c>
      <c r="M11" s="11">
        <f>SUM(M4:M7)</f>
        <v>2885</v>
      </c>
    </row>
    <row r="12" spans="1:15" ht="15.75">
      <c r="A12" s="3"/>
      <c r="B12" s="3"/>
      <c r="C12" s="252"/>
      <c r="D12" s="270"/>
      <c r="E12" s="270"/>
      <c r="F12" s="270"/>
      <c r="G12" s="270"/>
      <c r="H12" s="270"/>
      <c r="I12" s="270"/>
      <c r="J12" s="271"/>
    </row>
    <row r="13" spans="1:15" ht="15.75">
      <c r="A13" s="3"/>
      <c r="B13" s="3"/>
      <c r="C13" s="252"/>
      <c r="D13" s="270"/>
      <c r="E13" s="270"/>
      <c r="F13" s="270"/>
      <c r="G13" s="270"/>
      <c r="H13" s="270"/>
      <c r="I13" s="270"/>
      <c r="J13" s="271"/>
    </row>
    <row r="14" spans="1:15" ht="15.75">
      <c r="A14" s="3"/>
      <c r="B14" s="3"/>
      <c r="C14" s="253"/>
      <c r="D14" s="264"/>
      <c r="E14" s="264"/>
      <c r="F14" s="264"/>
      <c r="G14" s="264"/>
      <c r="H14" s="264"/>
      <c r="I14" s="264"/>
      <c r="J14" s="257"/>
    </row>
    <row r="15" spans="1:15" ht="15.75">
      <c r="A15" s="276" t="s">
        <v>136</v>
      </c>
      <c r="B15" s="277"/>
      <c r="C15" s="17" t="s">
        <v>78</v>
      </c>
      <c r="D15" s="18" t="s">
        <v>79</v>
      </c>
      <c r="E15" s="17" t="s">
        <v>80</v>
      </c>
      <c r="F15" s="17" t="s">
        <v>81</v>
      </c>
      <c r="G15" s="19" t="s">
        <v>82</v>
      </c>
      <c r="H15" s="17" t="s">
        <v>83</v>
      </c>
      <c r="I15" s="17" t="s">
        <v>84</v>
      </c>
      <c r="J15" s="17" t="s">
        <v>85</v>
      </c>
    </row>
    <row r="16" spans="1:15" ht="15.75">
      <c r="A16" s="21" t="s">
        <v>10</v>
      </c>
      <c r="B16" s="22" t="s">
        <v>137</v>
      </c>
      <c r="C16" s="33">
        <v>2</v>
      </c>
      <c r="D16" s="24">
        <v>518</v>
      </c>
      <c r="E16" s="25">
        <f t="shared" ref="E16:E17" si="0">C16*D16</f>
        <v>1036</v>
      </c>
      <c r="F16" s="25">
        <f t="shared" ref="F16:F17" si="1">((E16+E16*3%))</f>
        <v>1067.08</v>
      </c>
      <c r="G16" s="33">
        <f>F16</f>
        <v>1067.08</v>
      </c>
      <c r="H16" s="25" t="s">
        <v>95</v>
      </c>
      <c r="I16" s="111">
        <v>1000</v>
      </c>
      <c r="J16" s="112">
        <f>G16*I16</f>
        <v>1067080</v>
      </c>
      <c r="K16" s="118">
        <f>E16/1000</f>
        <v>1.036</v>
      </c>
    </row>
    <row r="17" spans="1:11" ht="15.75">
      <c r="A17" s="21"/>
      <c r="B17" s="22" t="s">
        <v>138</v>
      </c>
      <c r="C17" s="33">
        <v>50</v>
      </c>
      <c r="D17" s="24">
        <v>518</v>
      </c>
      <c r="E17" s="25">
        <f t="shared" si="0"/>
        <v>25900</v>
      </c>
      <c r="F17" s="25">
        <f t="shared" si="1"/>
        <v>26677</v>
      </c>
      <c r="G17" s="33">
        <f>+F17/1000</f>
        <v>26.677</v>
      </c>
      <c r="H17" s="25" t="s">
        <v>86</v>
      </c>
      <c r="I17" s="111">
        <v>13000</v>
      </c>
      <c r="J17" s="112">
        <f t="shared" ref="J17:J28" si="2">G17*I17</f>
        <v>346801</v>
      </c>
      <c r="K17" s="118">
        <f t="shared" ref="K17:K46" si="3">E17/1000</f>
        <v>25.9</v>
      </c>
    </row>
    <row r="18" spans="1:11" ht="15.75">
      <c r="A18" s="29" t="s">
        <v>87</v>
      </c>
      <c r="B18" s="30"/>
      <c r="C18" s="30"/>
      <c r="D18" s="30"/>
      <c r="E18" s="30"/>
      <c r="F18" s="30"/>
      <c r="G18" s="30"/>
      <c r="H18" s="116"/>
      <c r="I18" s="114"/>
      <c r="J18" s="112">
        <f t="shared" si="2"/>
        <v>0</v>
      </c>
      <c r="K18" s="118">
        <f t="shared" si="3"/>
        <v>0</v>
      </c>
    </row>
    <row r="19" spans="1:11" ht="15.75">
      <c r="A19" s="21" t="s">
        <v>88</v>
      </c>
      <c r="B19" s="22" t="s">
        <v>89</v>
      </c>
      <c r="C19" s="31">
        <f>1000/12*2</f>
        <v>166.66666666666666</v>
      </c>
      <c r="D19" s="9">
        <v>204</v>
      </c>
      <c r="E19" s="32">
        <f t="shared" ref="E19:E20" si="4">C19*D19</f>
        <v>34000</v>
      </c>
      <c r="F19" s="25">
        <f t="shared" ref="F19:F20" si="5">(E19+(E19*4%))</f>
        <v>35360</v>
      </c>
      <c r="G19" s="33">
        <f t="shared" ref="G19:G20" si="6">+F19/1000</f>
        <v>35.36</v>
      </c>
      <c r="H19" s="28" t="s">
        <v>86</v>
      </c>
      <c r="I19" s="111">
        <v>40000</v>
      </c>
      <c r="J19" s="112">
        <f t="shared" si="2"/>
        <v>1414400</v>
      </c>
      <c r="K19" s="118">
        <f t="shared" si="3"/>
        <v>34</v>
      </c>
    </row>
    <row r="20" spans="1:11" ht="15.75" customHeight="1">
      <c r="A20" s="21" t="s">
        <v>90</v>
      </c>
      <c r="B20" s="22" t="s">
        <v>91</v>
      </c>
      <c r="C20" s="31">
        <f>1000/10*2</f>
        <v>200</v>
      </c>
      <c r="D20" s="9">
        <v>314</v>
      </c>
      <c r="E20" s="32">
        <f t="shared" si="4"/>
        <v>62800</v>
      </c>
      <c r="F20" s="25">
        <f t="shared" si="5"/>
        <v>65312</v>
      </c>
      <c r="G20" s="33">
        <f t="shared" si="6"/>
        <v>65.311999999999998</v>
      </c>
      <c r="H20" s="28" t="s">
        <v>86</v>
      </c>
      <c r="I20" s="111">
        <v>40000</v>
      </c>
      <c r="J20" s="112">
        <f t="shared" si="2"/>
        <v>2612480</v>
      </c>
      <c r="K20" s="118">
        <f t="shared" si="3"/>
        <v>62.8</v>
      </c>
    </row>
    <row r="21" spans="1:11" ht="15.75" customHeight="1">
      <c r="A21" s="36" t="s">
        <v>92</v>
      </c>
      <c r="B21" s="37"/>
      <c r="C21" s="37"/>
      <c r="D21" s="37"/>
      <c r="E21" s="37"/>
      <c r="F21" s="37"/>
      <c r="G21" s="37"/>
      <c r="H21" s="117"/>
      <c r="I21" s="114"/>
      <c r="J21" s="112">
        <f t="shared" si="2"/>
        <v>0</v>
      </c>
      <c r="K21" s="118">
        <f t="shared" si="3"/>
        <v>0</v>
      </c>
    </row>
    <row r="22" spans="1:11" ht="15.75" customHeight="1">
      <c r="A22" s="21"/>
      <c r="B22" s="2" t="s">
        <v>213</v>
      </c>
      <c r="C22" s="33">
        <v>1</v>
      </c>
      <c r="D22" s="24">
        <v>518</v>
      </c>
      <c r="E22" s="25">
        <f>C22*D22</f>
        <v>518</v>
      </c>
      <c r="F22" s="25">
        <f>(E22+(E22*3%))</f>
        <v>533.54</v>
      </c>
      <c r="G22" s="33">
        <f>F22</f>
        <v>533.54</v>
      </c>
      <c r="H22" s="28" t="s">
        <v>95</v>
      </c>
      <c r="I22" s="111">
        <v>2300</v>
      </c>
      <c r="J22" s="112">
        <f t="shared" si="2"/>
        <v>1227142</v>
      </c>
      <c r="K22" s="118">
        <f t="shared" si="3"/>
        <v>0.51800000000000002</v>
      </c>
    </row>
    <row r="23" spans="1:11" ht="15.75" customHeight="1">
      <c r="A23" s="41" t="s">
        <v>96</v>
      </c>
      <c r="B23" s="42"/>
      <c r="C23" s="42"/>
      <c r="D23" s="42"/>
      <c r="E23" s="42"/>
      <c r="F23" s="42"/>
      <c r="G23" s="42"/>
      <c r="H23" s="107"/>
      <c r="I23" s="114"/>
      <c r="J23" s="112">
        <f t="shared" si="2"/>
        <v>0</v>
      </c>
      <c r="K23" s="118">
        <f t="shared" si="3"/>
        <v>0</v>
      </c>
    </row>
    <row r="24" spans="1:11" ht="15.75" customHeight="1">
      <c r="A24" s="44" t="s">
        <v>97</v>
      </c>
      <c r="B24" s="80"/>
      <c r="C24" s="45"/>
      <c r="D24" s="45"/>
      <c r="E24" s="45"/>
      <c r="F24" s="45"/>
      <c r="G24" s="45"/>
      <c r="H24" s="108"/>
      <c r="I24" s="114"/>
      <c r="J24" s="112">
        <f t="shared" si="2"/>
        <v>0</v>
      </c>
      <c r="K24" s="118">
        <f t="shared" si="3"/>
        <v>0</v>
      </c>
    </row>
    <row r="25" spans="1:11" ht="15.75" customHeight="1">
      <c r="A25" s="81"/>
      <c r="B25" s="82" t="s">
        <v>139</v>
      </c>
      <c r="C25" s="33">
        <v>1</v>
      </c>
      <c r="D25" s="24">
        <v>518</v>
      </c>
      <c r="E25" s="25">
        <f t="shared" ref="E25:E28" si="7">C25*D25</f>
        <v>518</v>
      </c>
      <c r="F25" s="25">
        <f t="shared" ref="F25:F28" si="8">(E25+(E25*3%))</f>
        <v>533.54</v>
      </c>
      <c r="G25" s="33">
        <f>F25</f>
        <v>533.54</v>
      </c>
      <c r="H25" s="28" t="s">
        <v>95</v>
      </c>
      <c r="I25" s="111">
        <v>2300</v>
      </c>
      <c r="J25" s="112">
        <f t="shared" si="2"/>
        <v>1227142</v>
      </c>
      <c r="K25" s="118">
        <f t="shared" si="3"/>
        <v>0.51800000000000002</v>
      </c>
    </row>
    <row r="26" spans="1:11" ht="15.75" customHeight="1">
      <c r="A26" s="81"/>
      <c r="B26" s="82" t="s">
        <v>98</v>
      </c>
      <c r="C26" s="33">
        <v>1</v>
      </c>
      <c r="D26" s="24">
        <v>518</v>
      </c>
      <c r="E26" s="25">
        <f t="shared" si="7"/>
        <v>518</v>
      </c>
      <c r="F26" s="25">
        <f t="shared" si="8"/>
        <v>533.54</v>
      </c>
      <c r="G26" s="33">
        <f>F26</f>
        <v>533.54</v>
      </c>
      <c r="H26" s="28" t="s">
        <v>95</v>
      </c>
      <c r="I26" s="111">
        <v>2500</v>
      </c>
      <c r="J26" s="112">
        <f t="shared" si="2"/>
        <v>1333850</v>
      </c>
      <c r="K26" s="118">
        <f t="shared" si="3"/>
        <v>0.51800000000000002</v>
      </c>
    </row>
    <row r="27" spans="1:11" ht="15.75" customHeight="1">
      <c r="A27" s="81"/>
      <c r="B27" s="82" t="s">
        <v>148</v>
      </c>
      <c r="C27" s="33">
        <v>40</v>
      </c>
      <c r="D27" s="24">
        <v>518</v>
      </c>
      <c r="E27" s="25">
        <f t="shared" si="7"/>
        <v>20720</v>
      </c>
      <c r="F27" s="25">
        <f t="shared" si="8"/>
        <v>21341.599999999999</v>
      </c>
      <c r="G27" s="33">
        <f t="shared" ref="G27:G28" si="9">+F27/1000</f>
        <v>21.3416</v>
      </c>
      <c r="H27" s="28" t="s">
        <v>95</v>
      </c>
      <c r="I27" s="111">
        <v>50000</v>
      </c>
      <c r="J27" s="112">
        <f t="shared" si="2"/>
        <v>1067080</v>
      </c>
      <c r="K27" s="118">
        <f t="shared" si="3"/>
        <v>20.72</v>
      </c>
    </row>
    <row r="28" spans="1:11" ht="15.75" customHeight="1">
      <c r="A28" s="81"/>
      <c r="B28" s="82" t="s">
        <v>44</v>
      </c>
      <c r="C28" s="33">
        <v>110</v>
      </c>
      <c r="D28" s="47">
        <v>314</v>
      </c>
      <c r="E28" s="25">
        <f t="shared" si="7"/>
        <v>34540</v>
      </c>
      <c r="F28" s="25">
        <f t="shared" si="8"/>
        <v>35576.199999999997</v>
      </c>
      <c r="G28" s="33">
        <f t="shared" si="9"/>
        <v>35.5762</v>
      </c>
      <c r="H28" s="28" t="s">
        <v>86</v>
      </c>
      <c r="I28" s="111">
        <v>40000</v>
      </c>
      <c r="J28" s="112">
        <f t="shared" si="2"/>
        <v>1423048</v>
      </c>
      <c r="K28" s="118">
        <f t="shared" si="3"/>
        <v>34.54</v>
      </c>
    </row>
    <row r="29" spans="1:11" ht="15.75" customHeight="1">
      <c r="A29" s="48" t="s">
        <v>99</v>
      </c>
      <c r="B29" s="83"/>
      <c r="C29" s="49"/>
      <c r="D29" s="49"/>
      <c r="E29" s="49"/>
      <c r="F29" s="49"/>
      <c r="G29" s="49"/>
      <c r="H29" s="109"/>
      <c r="I29" s="114"/>
      <c r="J29" s="115"/>
      <c r="K29" s="118">
        <f t="shared" si="3"/>
        <v>0</v>
      </c>
    </row>
    <row r="30" spans="1:11" ht="15.75" customHeight="1">
      <c r="A30" s="21"/>
      <c r="B30" s="84" t="s">
        <v>141</v>
      </c>
      <c r="C30" s="33">
        <v>30</v>
      </c>
      <c r="D30" s="24">
        <v>518</v>
      </c>
      <c r="E30" s="25">
        <f t="shared" ref="E30:E49" si="10">C30*D30</f>
        <v>15540</v>
      </c>
      <c r="F30" s="25">
        <f t="shared" ref="F30:F49" si="11">(E30+(E30*3%))</f>
        <v>16006.2</v>
      </c>
      <c r="G30" s="33">
        <f t="shared" ref="G30:G31" si="12">F30/1000</f>
        <v>16.0062</v>
      </c>
      <c r="H30" s="28" t="s">
        <v>142</v>
      </c>
      <c r="I30" s="111">
        <v>26000</v>
      </c>
      <c r="J30" s="112">
        <f>K30*I30</f>
        <v>404040</v>
      </c>
      <c r="K30" s="118">
        <f t="shared" si="3"/>
        <v>15.54</v>
      </c>
    </row>
    <row r="31" spans="1:11" ht="15.75" customHeight="1">
      <c r="A31" s="26"/>
      <c r="B31" s="26" t="s">
        <v>143</v>
      </c>
      <c r="C31" s="85">
        <f>1000/15/10</f>
        <v>6.666666666666667</v>
      </c>
      <c r="D31" s="24">
        <v>518</v>
      </c>
      <c r="E31" s="25">
        <f t="shared" si="10"/>
        <v>3453.3333333333335</v>
      </c>
      <c r="F31" s="25">
        <f t="shared" si="11"/>
        <v>3556.9333333333334</v>
      </c>
      <c r="G31" s="33">
        <f t="shared" si="12"/>
        <v>3.5569333333333333</v>
      </c>
      <c r="H31" s="28" t="s">
        <v>86</v>
      </c>
      <c r="I31" s="111">
        <v>32000</v>
      </c>
      <c r="J31" s="112">
        <f t="shared" ref="J31:J46" si="13">K31*I31</f>
        <v>110506.66666666667</v>
      </c>
      <c r="K31" s="118">
        <f t="shared" si="3"/>
        <v>3.4533333333333336</v>
      </c>
    </row>
    <row r="32" spans="1:11" ht="15.75" customHeight="1">
      <c r="A32" s="26"/>
      <c r="B32" s="26" t="s">
        <v>144</v>
      </c>
      <c r="C32" s="50">
        <v>50</v>
      </c>
      <c r="D32" s="24">
        <v>518</v>
      </c>
      <c r="E32" s="25">
        <f t="shared" si="10"/>
        <v>25900</v>
      </c>
      <c r="F32" s="25">
        <f t="shared" si="11"/>
        <v>26677</v>
      </c>
      <c r="G32" s="33">
        <f t="shared" ref="G32:G45" si="14">+F32/1000</f>
        <v>26.677</v>
      </c>
      <c r="H32" s="28" t="s">
        <v>86</v>
      </c>
      <c r="I32" s="111">
        <v>18000</v>
      </c>
      <c r="J32" s="112">
        <f t="shared" si="13"/>
        <v>466200</v>
      </c>
      <c r="K32" s="118">
        <f t="shared" si="3"/>
        <v>25.9</v>
      </c>
    </row>
    <row r="33" spans="1:11" ht="15.75" customHeight="1">
      <c r="A33" s="26"/>
      <c r="B33" s="26" t="s">
        <v>100</v>
      </c>
      <c r="C33" s="50">
        <v>2</v>
      </c>
      <c r="D33" s="24">
        <v>518</v>
      </c>
      <c r="E33" s="25">
        <f t="shared" si="10"/>
        <v>1036</v>
      </c>
      <c r="F33" s="25">
        <f t="shared" si="11"/>
        <v>1067.08</v>
      </c>
      <c r="G33" s="33">
        <f t="shared" si="14"/>
        <v>1.06708</v>
      </c>
      <c r="H33" s="28" t="s">
        <v>86</v>
      </c>
      <c r="I33" s="111">
        <v>15000</v>
      </c>
      <c r="J33" s="112">
        <f t="shared" si="13"/>
        <v>15540</v>
      </c>
      <c r="K33" s="118">
        <f t="shared" si="3"/>
        <v>1.036</v>
      </c>
    </row>
    <row r="34" spans="1:11" ht="15.75" customHeight="1">
      <c r="A34" s="26"/>
      <c r="B34" s="26" t="s">
        <v>101</v>
      </c>
      <c r="C34" s="50">
        <v>2</v>
      </c>
      <c r="D34" s="24">
        <v>518</v>
      </c>
      <c r="E34" s="25">
        <f t="shared" si="10"/>
        <v>1036</v>
      </c>
      <c r="F34" s="25">
        <f t="shared" si="11"/>
        <v>1067.08</v>
      </c>
      <c r="G34" s="33">
        <f t="shared" si="14"/>
        <v>1.06708</v>
      </c>
      <c r="H34" s="28" t="s">
        <v>86</v>
      </c>
      <c r="I34" s="111">
        <v>27000</v>
      </c>
      <c r="J34" s="112">
        <f t="shared" si="13"/>
        <v>27972</v>
      </c>
      <c r="K34" s="118">
        <f t="shared" si="3"/>
        <v>1.036</v>
      </c>
    </row>
    <row r="35" spans="1:11" ht="15.75" customHeight="1">
      <c r="A35" s="26"/>
      <c r="B35" s="26" t="s">
        <v>102</v>
      </c>
      <c r="C35" s="50">
        <v>1</v>
      </c>
      <c r="D35" s="24">
        <v>518</v>
      </c>
      <c r="E35" s="25">
        <f t="shared" si="10"/>
        <v>518</v>
      </c>
      <c r="F35" s="25">
        <f t="shared" si="11"/>
        <v>533.54</v>
      </c>
      <c r="G35" s="33">
        <f t="shared" si="14"/>
        <v>0.53354000000000001</v>
      </c>
      <c r="H35" s="28" t="s">
        <v>86</v>
      </c>
      <c r="I35" s="111">
        <v>50000</v>
      </c>
      <c r="J35" s="112">
        <f t="shared" si="13"/>
        <v>25900</v>
      </c>
      <c r="K35" s="118">
        <f t="shared" si="3"/>
        <v>0.51800000000000002</v>
      </c>
    </row>
    <row r="36" spans="1:11" ht="15.75" customHeight="1">
      <c r="A36" s="26"/>
      <c r="B36" s="26" t="s">
        <v>103</v>
      </c>
      <c r="C36" s="50">
        <v>2</v>
      </c>
      <c r="D36" s="24">
        <v>518</v>
      </c>
      <c r="E36" s="25">
        <f t="shared" si="10"/>
        <v>1036</v>
      </c>
      <c r="F36" s="25">
        <f t="shared" si="11"/>
        <v>1067.08</v>
      </c>
      <c r="G36" s="33">
        <f t="shared" si="14"/>
        <v>1.06708</v>
      </c>
      <c r="H36" s="28" t="s">
        <v>86</v>
      </c>
      <c r="I36" s="111">
        <v>45000</v>
      </c>
      <c r="J36" s="112">
        <f t="shared" si="13"/>
        <v>46620</v>
      </c>
      <c r="K36" s="118">
        <f t="shared" si="3"/>
        <v>1.036</v>
      </c>
    </row>
    <row r="37" spans="1:11" ht="15.75" customHeight="1">
      <c r="A37" s="26"/>
      <c r="B37" s="26" t="s">
        <v>104</v>
      </c>
      <c r="C37" s="50">
        <v>2</v>
      </c>
      <c r="D37" s="24">
        <v>518</v>
      </c>
      <c r="E37" s="25">
        <f t="shared" si="10"/>
        <v>1036</v>
      </c>
      <c r="F37" s="25">
        <f t="shared" si="11"/>
        <v>1067.08</v>
      </c>
      <c r="G37" s="33">
        <f t="shared" si="14"/>
        <v>1.06708</v>
      </c>
      <c r="H37" s="28" t="s">
        <v>86</v>
      </c>
      <c r="I37" s="111">
        <v>43000</v>
      </c>
      <c r="J37" s="112">
        <f t="shared" si="13"/>
        <v>44548</v>
      </c>
      <c r="K37" s="118">
        <f t="shared" si="3"/>
        <v>1.036</v>
      </c>
    </row>
    <row r="38" spans="1:11" ht="15.75" customHeight="1">
      <c r="A38" s="26"/>
      <c r="B38" s="26" t="s">
        <v>105</v>
      </c>
      <c r="C38" s="50">
        <v>1</v>
      </c>
      <c r="D38" s="24">
        <v>518</v>
      </c>
      <c r="E38" s="25">
        <f t="shared" si="10"/>
        <v>518</v>
      </c>
      <c r="F38" s="25">
        <f t="shared" si="11"/>
        <v>533.54</v>
      </c>
      <c r="G38" s="33">
        <f t="shared" si="14"/>
        <v>0.53354000000000001</v>
      </c>
      <c r="H38" s="28" t="s">
        <v>86</v>
      </c>
      <c r="I38" s="111">
        <v>35000</v>
      </c>
      <c r="J38" s="112">
        <f t="shared" si="13"/>
        <v>18130</v>
      </c>
      <c r="K38" s="118">
        <f t="shared" si="3"/>
        <v>0.51800000000000002</v>
      </c>
    </row>
    <row r="39" spans="1:11" ht="15.75" customHeight="1">
      <c r="A39" s="26"/>
      <c r="B39" s="26" t="s">
        <v>106</v>
      </c>
      <c r="C39" s="50">
        <v>4</v>
      </c>
      <c r="D39" s="24">
        <v>518</v>
      </c>
      <c r="E39" s="25">
        <f t="shared" si="10"/>
        <v>2072</v>
      </c>
      <c r="F39" s="25">
        <f t="shared" si="11"/>
        <v>2134.16</v>
      </c>
      <c r="G39" s="33">
        <f t="shared" si="14"/>
        <v>2.1341600000000001</v>
      </c>
      <c r="H39" s="28" t="s">
        <v>86</v>
      </c>
      <c r="I39" s="111">
        <v>13000</v>
      </c>
      <c r="J39" s="112">
        <f t="shared" si="13"/>
        <v>26936</v>
      </c>
      <c r="K39" s="118">
        <f t="shared" si="3"/>
        <v>2.0720000000000001</v>
      </c>
    </row>
    <row r="40" spans="1:11" ht="15.75" customHeight="1">
      <c r="A40" s="86"/>
      <c r="B40" s="26" t="s">
        <v>107</v>
      </c>
      <c r="C40" s="50">
        <v>2</v>
      </c>
      <c r="D40" s="24">
        <v>518</v>
      </c>
      <c r="E40" s="25">
        <f t="shared" si="10"/>
        <v>1036</v>
      </c>
      <c r="F40" s="25">
        <f t="shared" si="11"/>
        <v>1067.08</v>
      </c>
      <c r="G40" s="33">
        <f t="shared" si="14"/>
        <v>1.06708</v>
      </c>
      <c r="H40" s="28" t="s">
        <v>86</v>
      </c>
      <c r="I40" s="111">
        <v>102000</v>
      </c>
      <c r="J40" s="112">
        <f t="shared" si="13"/>
        <v>105672</v>
      </c>
      <c r="K40" s="118">
        <f t="shared" si="3"/>
        <v>1.036</v>
      </c>
    </row>
    <row r="41" spans="1:11" ht="15.75" customHeight="1">
      <c r="A41" s="86"/>
      <c r="B41" s="26" t="s">
        <v>108</v>
      </c>
      <c r="C41" s="50">
        <v>4</v>
      </c>
      <c r="D41" s="24">
        <v>518</v>
      </c>
      <c r="E41" s="25">
        <f t="shared" si="10"/>
        <v>2072</v>
      </c>
      <c r="F41" s="25">
        <f t="shared" si="11"/>
        <v>2134.16</v>
      </c>
      <c r="G41" s="33">
        <f t="shared" si="14"/>
        <v>2.1341600000000001</v>
      </c>
      <c r="H41" s="28" t="s">
        <v>86</v>
      </c>
      <c r="I41" s="111">
        <v>19000</v>
      </c>
      <c r="J41" s="112">
        <f t="shared" si="13"/>
        <v>39368</v>
      </c>
      <c r="K41" s="118">
        <f t="shared" si="3"/>
        <v>2.0720000000000001</v>
      </c>
    </row>
    <row r="42" spans="1:11" ht="15.75" customHeight="1">
      <c r="A42" s="26"/>
      <c r="B42" s="26" t="s">
        <v>109</v>
      </c>
      <c r="C42" s="50">
        <v>2</v>
      </c>
      <c r="D42" s="24">
        <v>518</v>
      </c>
      <c r="E42" s="25">
        <f t="shared" si="10"/>
        <v>1036</v>
      </c>
      <c r="F42" s="25">
        <f t="shared" si="11"/>
        <v>1067.08</v>
      </c>
      <c r="G42" s="33">
        <f t="shared" si="14"/>
        <v>1.06708</v>
      </c>
      <c r="H42" s="28" t="s">
        <v>86</v>
      </c>
      <c r="I42" s="111">
        <v>53000</v>
      </c>
      <c r="J42" s="112">
        <f t="shared" si="13"/>
        <v>54908</v>
      </c>
      <c r="K42" s="118">
        <f t="shared" si="3"/>
        <v>1.036</v>
      </c>
    </row>
    <row r="43" spans="1:11" ht="15.75" customHeight="1">
      <c r="A43" s="26"/>
      <c r="B43" s="26" t="s">
        <v>110</v>
      </c>
      <c r="C43" s="50">
        <v>15</v>
      </c>
      <c r="D43" s="24">
        <v>518</v>
      </c>
      <c r="E43" s="25">
        <f t="shared" si="10"/>
        <v>7770</v>
      </c>
      <c r="F43" s="25">
        <f t="shared" si="11"/>
        <v>8003.1</v>
      </c>
      <c r="G43" s="33">
        <f t="shared" si="14"/>
        <v>8.0030999999999999</v>
      </c>
      <c r="H43" s="28" t="s">
        <v>111</v>
      </c>
      <c r="I43" s="111">
        <v>19500</v>
      </c>
      <c r="J43" s="112">
        <f t="shared" si="13"/>
        <v>151515</v>
      </c>
      <c r="K43" s="118">
        <f t="shared" si="3"/>
        <v>7.77</v>
      </c>
    </row>
    <row r="44" spans="1:11" ht="15.75" customHeight="1">
      <c r="A44" s="26"/>
      <c r="B44" s="26" t="s">
        <v>112</v>
      </c>
      <c r="C44" s="21">
        <v>1</v>
      </c>
      <c r="D44" s="24">
        <v>518</v>
      </c>
      <c r="E44" s="25">
        <f t="shared" si="10"/>
        <v>518</v>
      </c>
      <c r="F44" s="25">
        <f t="shared" si="11"/>
        <v>533.54</v>
      </c>
      <c r="G44" s="33">
        <f t="shared" si="14"/>
        <v>0.53354000000000001</v>
      </c>
      <c r="H44" s="28" t="s">
        <v>86</v>
      </c>
      <c r="I44" s="111">
        <v>16000</v>
      </c>
      <c r="J44" s="112">
        <f t="shared" si="13"/>
        <v>8288</v>
      </c>
      <c r="K44" s="118">
        <f t="shared" si="3"/>
        <v>0.51800000000000002</v>
      </c>
    </row>
    <row r="45" spans="1:11" ht="15.75" customHeight="1">
      <c r="A45" s="51"/>
      <c r="B45" s="26" t="s">
        <v>113</v>
      </c>
      <c r="C45" s="21">
        <v>1</v>
      </c>
      <c r="D45" s="24">
        <v>518</v>
      </c>
      <c r="E45" s="25">
        <f t="shared" si="10"/>
        <v>518</v>
      </c>
      <c r="F45" s="25">
        <f t="shared" si="11"/>
        <v>533.54</v>
      </c>
      <c r="G45" s="33">
        <f t="shared" si="14"/>
        <v>0.53354000000000001</v>
      </c>
      <c r="H45" s="28" t="s">
        <v>86</v>
      </c>
      <c r="I45" s="111">
        <v>17000</v>
      </c>
      <c r="J45" s="112">
        <f t="shared" si="13"/>
        <v>8806</v>
      </c>
      <c r="K45" s="118">
        <f t="shared" si="3"/>
        <v>0.51800000000000002</v>
      </c>
    </row>
    <row r="46" spans="1:11" ht="15.75" customHeight="1">
      <c r="A46" s="26"/>
      <c r="B46" s="51" t="s">
        <v>149</v>
      </c>
      <c r="C46" s="52">
        <v>1</v>
      </c>
      <c r="D46" s="24">
        <v>518</v>
      </c>
      <c r="E46" s="53">
        <f t="shared" si="10"/>
        <v>518</v>
      </c>
      <c r="F46" s="53">
        <f t="shared" si="11"/>
        <v>533.54</v>
      </c>
      <c r="G46" s="54">
        <f>F46/1000</f>
        <v>0.53354000000000001</v>
      </c>
      <c r="H46" s="56" t="s">
        <v>111</v>
      </c>
      <c r="I46" s="26">
        <v>59000</v>
      </c>
      <c r="J46" s="112">
        <f t="shared" si="13"/>
        <v>30562</v>
      </c>
      <c r="K46" s="118">
        <f t="shared" si="3"/>
        <v>0.51800000000000002</v>
      </c>
    </row>
    <row r="47" spans="1:11" ht="15.75" customHeight="1">
      <c r="A47" s="26"/>
      <c r="B47" s="51" t="s">
        <v>145</v>
      </c>
      <c r="C47" s="52">
        <v>2</v>
      </c>
      <c r="D47" s="24">
        <v>518</v>
      </c>
      <c r="E47" s="53">
        <f t="shared" si="10"/>
        <v>1036</v>
      </c>
      <c r="F47" s="53">
        <f t="shared" si="11"/>
        <v>1067.08</v>
      </c>
      <c r="G47" s="54">
        <f t="shared" ref="G47:G49" si="15">F47</f>
        <v>1067.08</v>
      </c>
      <c r="H47" s="56" t="s">
        <v>94</v>
      </c>
      <c r="I47" s="26"/>
      <c r="J47" s="119">
        <f>SUM(J16:J46)</f>
        <v>13304534.666666666</v>
      </c>
    </row>
    <row r="48" spans="1:11" ht="15.75" customHeight="1">
      <c r="A48" s="26"/>
      <c r="B48" s="51" t="s">
        <v>146</v>
      </c>
      <c r="C48" s="52">
        <v>1</v>
      </c>
      <c r="D48" s="24">
        <v>518</v>
      </c>
      <c r="E48" s="53">
        <f t="shared" si="10"/>
        <v>518</v>
      </c>
      <c r="F48" s="53">
        <f t="shared" si="11"/>
        <v>533.54</v>
      </c>
      <c r="G48" s="54">
        <f t="shared" si="15"/>
        <v>533.54</v>
      </c>
      <c r="H48" s="56" t="s">
        <v>94</v>
      </c>
      <c r="I48" s="26"/>
      <c r="J48" s="87"/>
    </row>
    <row r="49" spans="1:12" ht="15.75" customHeight="1">
      <c r="A49" s="26"/>
      <c r="B49" s="26" t="s">
        <v>147</v>
      </c>
      <c r="C49" s="21">
        <v>1</v>
      </c>
      <c r="D49" s="24">
        <v>518</v>
      </c>
      <c r="E49" s="53">
        <f t="shared" si="10"/>
        <v>518</v>
      </c>
      <c r="F49" s="53">
        <f t="shared" si="11"/>
        <v>533.54</v>
      </c>
      <c r="G49" s="54">
        <f t="shared" si="15"/>
        <v>533.54</v>
      </c>
      <c r="H49" s="56" t="s">
        <v>94</v>
      </c>
      <c r="I49" s="26"/>
      <c r="J49" s="87"/>
    </row>
    <row r="50" spans="1:12" ht="15.75" customHeight="1">
      <c r="A50" s="57"/>
      <c r="B50" s="57"/>
      <c r="C50" s="57"/>
      <c r="D50" s="57"/>
      <c r="E50" s="57"/>
      <c r="F50" s="57"/>
      <c r="G50" s="57"/>
      <c r="H50" s="60"/>
      <c r="I50" s="57"/>
    </row>
    <row r="51" spans="1:12" ht="15.75" customHeight="1">
      <c r="A51" s="57"/>
      <c r="B51" s="57"/>
      <c r="C51" s="57"/>
      <c r="D51" s="57"/>
      <c r="E51" s="57"/>
      <c r="F51" s="57"/>
      <c r="G51" s="57"/>
      <c r="H51" s="60"/>
      <c r="I51" s="57"/>
    </row>
    <row r="52" spans="1:1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spans="1:12" ht="20.25" customHeight="1">
      <c r="A53" s="61" t="s">
        <v>134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</row>
    <row r="54" spans="1:12" ht="20.25" customHeight="1">
      <c r="A54" s="63" t="s">
        <v>118</v>
      </c>
      <c r="B54" s="64" t="s">
        <v>119</v>
      </c>
      <c r="C54" s="63" t="s">
        <v>120</v>
      </c>
      <c r="D54" s="63" t="s">
        <v>121</v>
      </c>
      <c r="E54" s="67" t="s">
        <v>122</v>
      </c>
      <c r="F54" s="67" t="s">
        <v>123</v>
      </c>
      <c r="G54" s="67" t="s">
        <v>124</v>
      </c>
      <c r="H54" s="63" t="s">
        <v>125</v>
      </c>
      <c r="I54" s="63" t="s">
        <v>126</v>
      </c>
      <c r="J54" s="63" t="s">
        <v>127</v>
      </c>
      <c r="K54" s="63" t="s">
        <v>77</v>
      </c>
      <c r="L54" s="63" t="s">
        <v>128</v>
      </c>
    </row>
    <row r="55" spans="1:12" ht="20.25" customHeight="1">
      <c r="A55" s="2" t="s">
        <v>10</v>
      </c>
      <c r="B55" s="68">
        <v>100</v>
      </c>
      <c r="C55" s="69">
        <v>100</v>
      </c>
      <c r="D55" s="47">
        <f t="shared" ref="D55:D60" si="16">B55%*C55</f>
        <v>100</v>
      </c>
      <c r="E55" s="47">
        <v>1</v>
      </c>
      <c r="F55" s="47">
        <f t="shared" ref="F55:F60" si="17">D55/E55</f>
        <v>100</v>
      </c>
      <c r="G55" s="21" t="s">
        <v>256</v>
      </c>
      <c r="H55" s="21">
        <v>290</v>
      </c>
      <c r="I55" s="21">
        <v>7</v>
      </c>
      <c r="J55" s="21">
        <v>10</v>
      </c>
      <c r="K55" s="21">
        <v>45</v>
      </c>
      <c r="L55" s="21">
        <v>0</v>
      </c>
    </row>
    <row r="56" spans="1:12" ht="20.25" customHeight="1">
      <c r="A56" s="2" t="s">
        <v>15</v>
      </c>
      <c r="B56" s="164">
        <v>58</v>
      </c>
      <c r="C56" s="163">
        <f>83*2</f>
        <v>166</v>
      </c>
      <c r="D56" s="163">
        <f>B56%*C56</f>
        <v>96.279999999999987</v>
      </c>
      <c r="E56" s="163">
        <v>1.6</v>
      </c>
      <c r="F56" s="163">
        <f>D56/E56</f>
        <v>60.17499999999999</v>
      </c>
      <c r="G56" s="164" t="s">
        <v>253</v>
      </c>
      <c r="H56" s="71">
        <v>171.4</v>
      </c>
      <c r="I56" s="71">
        <v>16.2</v>
      </c>
      <c r="J56" s="71">
        <v>11.4</v>
      </c>
      <c r="K56" s="71">
        <v>0</v>
      </c>
      <c r="L56" s="21">
        <v>0</v>
      </c>
    </row>
    <row r="57" spans="1:12" ht="15.75" customHeight="1">
      <c r="A57" s="2" t="s">
        <v>213</v>
      </c>
      <c r="B57" s="173">
        <v>100</v>
      </c>
      <c r="C57" s="174">
        <v>100</v>
      </c>
      <c r="D57" s="175">
        <f>B57*C57%</f>
        <v>100</v>
      </c>
      <c r="E57" s="175">
        <v>1</v>
      </c>
      <c r="F57" s="176">
        <f>D57/E57</f>
        <v>100</v>
      </c>
      <c r="G57" s="177" t="s">
        <v>233</v>
      </c>
      <c r="H57" s="33">
        <v>40</v>
      </c>
      <c r="I57" s="33">
        <v>1</v>
      </c>
      <c r="J57" s="33">
        <v>0</v>
      </c>
      <c r="K57" s="33">
        <v>9</v>
      </c>
      <c r="L57" s="21">
        <v>3</v>
      </c>
    </row>
    <row r="58" spans="1:12" ht="15.75" customHeight="1">
      <c r="A58" s="2" t="s">
        <v>36</v>
      </c>
      <c r="B58" s="68">
        <v>72</v>
      </c>
      <c r="C58" s="69">
        <v>116</v>
      </c>
      <c r="D58" s="47">
        <f t="shared" si="16"/>
        <v>83.52</v>
      </c>
      <c r="E58" s="47">
        <v>1</v>
      </c>
      <c r="F58" s="47">
        <f t="shared" si="17"/>
        <v>83.52</v>
      </c>
      <c r="G58" s="21" t="s">
        <v>251</v>
      </c>
      <c r="H58" s="39">
        <v>39.299999999999997</v>
      </c>
      <c r="I58" s="39">
        <v>0.8</v>
      </c>
      <c r="J58" s="39">
        <v>0.1</v>
      </c>
      <c r="K58" s="28">
        <v>9.9</v>
      </c>
      <c r="L58" s="21">
        <v>2</v>
      </c>
    </row>
    <row r="59" spans="1:12" ht="15.75" customHeight="1">
      <c r="A59" s="2" t="s">
        <v>40</v>
      </c>
      <c r="B59" s="68">
        <v>48</v>
      </c>
      <c r="C59" s="69">
        <v>85</v>
      </c>
      <c r="D59" s="47">
        <f t="shared" si="16"/>
        <v>40.799999999999997</v>
      </c>
      <c r="E59" s="47">
        <v>1</v>
      </c>
      <c r="F59" s="47">
        <f t="shared" si="17"/>
        <v>40.799999999999997</v>
      </c>
      <c r="G59" s="21" t="s">
        <v>229</v>
      </c>
      <c r="H59" s="39">
        <v>32.700000000000003</v>
      </c>
      <c r="I59" s="39">
        <v>1</v>
      </c>
      <c r="J59" s="39">
        <v>0.2</v>
      </c>
      <c r="K59" s="28">
        <v>5.2</v>
      </c>
      <c r="L59" s="21">
        <v>0.6</v>
      </c>
    </row>
    <row r="60" spans="1:12" ht="15.75" customHeight="1">
      <c r="A60" s="2" t="s">
        <v>214</v>
      </c>
      <c r="B60" s="68">
        <v>79</v>
      </c>
      <c r="C60" s="69">
        <v>50</v>
      </c>
      <c r="D60" s="47">
        <f t="shared" si="16"/>
        <v>39.5</v>
      </c>
      <c r="E60" s="47">
        <v>1</v>
      </c>
      <c r="F60" s="47">
        <f t="shared" si="17"/>
        <v>39.5</v>
      </c>
      <c r="G60" s="21" t="s">
        <v>252</v>
      </c>
      <c r="H60" s="39">
        <v>31.2</v>
      </c>
      <c r="I60" s="39">
        <v>0.5</v>
      </c>
      <c r="J60" s="39">
        <v>0.1</v>
      </c>
      <c r="K60" s="28">
        <v>8</v>
      </c>
      <c r="L60" s="21">
        <v>0.9</v>
      </c>
    </row>
    <row r="61" spans="1:12" ht="15.75" customHeight="1">
      <c r="A61" s="272" t="s">
        <v>129</v>
      </c>
      <c r="B61" s="239"/>
      <c r="C61" s="239"/>
      <c r="D61" s="239"/>
      <c r="E61" s="239"/>
      <c r="F61" s="239"/>
      <c r="G61" s="240"/>
      <c r="H61" s="73">
        <f>SUM(H55:H60)</f>
        <v>604.6</v>
      </c>
      <c r="I61" s="73">
        <f>SUM(I55:I60)</f>
        <v>26.5</v>
      </c>
      <c r="J61" s="73">
        <f>SUM(J55:J60)</f>
        <v>21.8</v>
      </c>
      <c r="K61" s="73">
        <f>SUM(K55:K60)</f>
        <v>77.099999999999994</v>
      </c>
      <c r="L61" s="73">
        <f>SUM(L55:L60)</f>
        <v>6.5</v>
      </c>
    </row>
    <row r="62" spans="1:12" ht="15.75" customHeight="1">
      <c r="A62" s="272" t="s">
        <v>130</v>
      </c>
      <c r="B62" s="239"/>
      <c r="C62" s="239"/>
      <c r="D62" s="239"/>
      <c r="E62" s="239"/>
      <c r="F62" s="239"/>
      <c r="G62" s="240"/>
      <c r="H62" s="74">
        <v>270</v>
      </c>
      <c r="I62" s="74">
        <v>4</v>
      </c>
      <c r="J62" s="74">
        <v>9</v>
      </c>
      <c r="K62" s="74">
        <v>43</v>
      </c>
      <c r="L62" s="21">
        <v>5</v>
      </c>
    </row>
    <row r="63" spans="1:12" ht="15.75" customHeight="1">
      <c r="A63" s="272" t="s">
        <v>131</v>
      </c>
      <c r="B63" s="239"/>
      <c r="C63" s="239"/>
      <c r="D63" s="239"/>
      <c r="E63" s="239"/>
      <c r="F63" s="239"/>
      <c r="G63" s="240"/>
      <c r="H63" s="75">
        <f t="shared" ref="H63:L63" si="18">(H61/H62)*100</f>
        <v>223.92592592592595</v>
      </c>
      <c r="I63" s="75">
        <f t="shared" si="18"/>
        <v>662.5</v>
      </c>
      <c r="J63" s="75">
        <f t="shared" si="18"/>
        <v>242.22222222222226</v>
      </c>
      <c r="K63" s="75">
        <f t="shared" si="18"/>
        <v>179.30232558139534</v>
      </c>
      <c r="L63" s="75">
        <f t="shared" si="18"/>
        <v>130</v>
      </c>
    </row>
    <row r="64" spans="1:12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spans="1:12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</row>
    <row r="66" spans="1:12" ht="15.75" customHeight="1">
      <c r="A66" s="61" t="s">
        <v>135</v>
      </c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</row>
    <row r="67" spans="1:12" ht="15.75" customHeight="1">
      <c r="A67" s="63" t="s">
        <v>118</v>
      </c>
      <c r="B67" s="64" t="s">
        <v>119</v>
      </c>
      <c r="C67" s="63" t="s">
        <v>120</v>
      </c>
      <c r="D67" s="63" t="s">
        <v>121</v>
      </c>
      <c r="E67" s="67" t="s">
        <v>122</v>
      </c>
      <c r="F67" s="67" t="s">
        <v>123</v>
      </c>
      <c r="G67" s="67" t="s">
        <v>124</v>
      </c>
      <c r="H67" s="63" t="s">
        <v>125</v>
      </c>
      <c r="I67" s="63" t="s">
        <v>126</v>
      </c>
      <c r="J67" s="63" t="s">
        <v>127</v>
      </c>
      <c r="K67" s="63" t="s">
        <v>77</v>
      </c>
      <c r="L67" s="63" t="s">
        <v>128</v>
      </c>
    </row>
    <row r="68" spans="1:12" ht="15.75" customHeight="1">
      <c r="A68" s="2" t="s">
        <v>10</v>
      </c>
      <c r="B68" s="68">
        <v>100</v>
      </c>
      <c r="C68" s="69">
        <v>100</v>
      </c>
      <c r="D68" s="47">
        <f t="shared" ref="D68" si="19">B68%*C68</f>
        <v>100</v>
      </c>
      <c r="E68" s="47">
        <v>1</v>
      </c>
      <c r="F68" s="47">
        <f t="shared" ref="F68" si="20">D68/E68</f>
        <v>100</v>
      </c>
      <c r="G68" s="21" t="s">
        <v>256</v>
      </c>
      <c r="H68" s="21">
        <v>290</v>
      </c>
      <c r="I68" s="21">
        <v>7</v>
      </c>
      <c r="J68" s="21">
        <v>10</v>
      </c>
      <c r="K68" s="21">
        <v>45</v>
      </c>
      <c r="L68" s="21">
        <v>0</v>
      </c>
    </row>
    <row r="69" spans="1:12" ht="15.75" customHeight="1">
      <c r="A69" s="2" t="s">
        <v>15</v>
      </c>
      <c r="B69" s="164">
        <v>58</v>
      </c>
      <c r="C69" s="163">
        <f>83*2</f>
        <v>166</v>
      </c>
      <c r="D69" s="163">
        <f>B69%*C69</f>
        <v>96.279999999999987</v>
      </c>
      <c r="E69" s="163">
        <v>1.6</v>
      </c>
      <c r="F69" s="163">
        <f>D69/E69</f>
        <v>60.17499999999999</v>
      </c>
      <c r="G69" s="164" t="s">
        <v>253</v>
      </c>
      <c r="H69" s="71">
        <v>171.4</v>
      </c>
      <c r="I69" s="71">
        <v>16.2</v>
      </c>
      <c r="J69" s="71">
        <v>11.4</v>
      </c>
      <c r="K69" s="71">
        <v>0</v>
      </c>
      <c r="L69" s="21">
        <v>0</v>
      </c>
    </row>
    <row r="70" spans="1:12" ht="15.75" customHeight="1">
      <c r="A70" s="2" t="s">
        <v>213</v>
      </c>
      <c r="B70" s="173">
        <v>100</v>
      </c>
      <c r="C70" s="174">
        <v>100</v>
      </c>
      <c r="D70" s="175">
        <f>B70*C70%</f>
        <v>100</v>
      </c>
      <c r="E70" s="175">
        <v>1</v>
      </c>
      <c r="F70" s="176">
        <f>D70/E70</f>
        <v>100</v>
      </c>
      <c r="G70" s="177" t="s">
        <v>233</v>
      </c>
      <c r="H70" s="33">
        <v>40</v>
      </c>
      <c r="I70" s="33">
        <v>1</v>
      </c>
      <c r="J70" s="33">
        <v>0</v>
      </c>
      <c r="K70" s="33">
        <v>9</v>
      </c>
      <c r="L70" s="21">
        <v>3</v>
      </c>
    </row>
    <row r="71" spans="1:12" ht="15.75" customHeight="1">
      <c r="A71" s="2" t="s">
        <v>36</v>
      </c>
      <c r="B71" s="68">
        <v>72</v>
      </c>
      <c r="C71" s="69">
        <v>116</v>
      </c>
      <c r="D71" s="47">
        <f t="shared" ref="D71:D73" si="21">B71%*C71</f>
        <v>83.52</v>
      </c>
      <c r="E71" s="47">
        <v>1</v>
      </c>
      <c r="F71" s="47">
        <f t="shared" ref="F71:F73" si="22">D71/E71</f>
        <v>83.52</v>
      </c>
      <c r="G71" s="21" t="s">
        <v>251</v>
      </c>
      <c r="H71" s="39">
        <v>39.299999999999997</v>
      </c>
      <c r="I71" s="39">
        <v>0.8</v>
      </c>
      <c r="J71" s="39">
        <v>0.1</v>
      </c>
      <c r="K71" s="181">
        <v>9.9</v>
      </c>
      <c r="L71" s="21">
        <v>2</v>
      </c>
    </row>
    <row r="72" spans="1:12" ht="15.75" customHeight="1">
      <c r="A72" s="2" t="s">
        <v>40</v>
      </c>
      <c r="B72" s="68">
        <v>48</v>
      </c>
      <c r="C72" s="69">
        <v>85</v>
      </c>
      <c r="D72" s="47">
        <f t="shared" si="21"/>
        <v>40.799999999999997</v>
      </c>
      <c r="E72" s="47">
        <v>1</v>
      </c>
      <c r="F72" s="47">
        <f t="shared" si="22"/>
        <v>40.799999999999997</v>
      </c>
      <c r="G72" s="21" t="s">
        <v>229</v>
      </c>
      <c r="H72" s="39">
        <v>32.700000000000003</v>
      </c>
      <c r="I72" s="39">
        <v>1</v>
      </c>
      <c r="J72" s="39">
        <v>0.2</v>
      </c>
      <c r="K72" s="181">
        <v>5.2</v>
      </c>
      <c r="L72" s="21">
        <v>0.6</v>
      </c>
    </row>
    <row r="73" spans="1:12" ht="15.75" customHeight="1">
      <c r="A73" s="2" t="s">
        <v>254</v>
      </c>
      <c r="B73" s="68">
        <v>79</v>
      </c>
      <c r="C73" s="69">
        <v>85</v>
      </c>
      <c r="D73" s="47">
        <f t="shared" si="21"/>
        <v>67.150000000000006</v>
      </c>
      <c r="E73" s="47">
        <v>1</v>
      </c>
      <c r="F73" s="47">
        <f t="shared" si="22"/>
        <v>67.150000000000006</v>
      </c>
      <c r="G73" s="21" t="s">
        <v>255</v>
      </c>
      <c r="H73" s="39">
        <v>187.3</v>
      </c>
      <c r="I73" s="39">
        <v>2</v>
      </c>
      <c r="J73" s="39">
        <v>0.3</v>
      </c>
      <c r="K73" s="181">
        <v>49</v>
      </c>
      <c r="L73" s="21">
        <v>2.5</v>
      </c>
    </row>
    <row r="74" spans="1:12" ht="15.75" customHeight="1">
      <c r="A74" s="72" t="s">
        <v>129</v>
      </c>
      <c r="B74" s="88"/>
      <c r="C74" s="88"/>
      <c r="D74" s="88"/>
      <c r="E74" s="88"/>
      <c r="F74" s="88"/>
      <c r="G74" s="89"/>
      <c r="H74" s="73">
        <f>SUM(H68:H73)</f>
        <v>760.7</v>
      </c>
      <c r="I74" s="73">
        <f>SUM(I68:I73)</f>
        <v>28</v>
      </c>
      <c r="J74" s="73">
        <f>SUM(J68:J73)</f>
        <v>22</v>
      </c>
      <c r="K74" s="73">
        <f>SUM(K68:K73)</f>
        <v>118.1</v>
      </c>
      <c r="L74" s="73">
        <f>SUM(L68:L73)</f>
        <v>8.1</v>
      </c>
    </row>
    <row r="75" spans="1:12" ht="15.75" customHeight="1">
      <c r="A75" s="72" t="s">
        <v>133</v>
      </c>
      <c r="B75" s="88"/>
      <c r="C75" s="88"/>
      <c r="D75" s="88"/>
      <c r="E75" s="88"/>
      <c r="F75" s="88"/>
      <c r="G75" s="89"/>
      <c r="H75" s="74">
        <v>753</v>
      </c>
      <c r="I75" s="74">
        <v>22.1</v>
      </c>
      <c r="J75" s="74">
        <v>20.2</v>
      </c>
      <c r="K75" s="74">
        <v>118.5</v>
      </c>
      <c r="L75" s="21">
        <v>10</v>
      </c>
    </row>
    <row r="76" spans="1:12" ht="15.75" customHeight="1">
      <c r="A76" s="72" t="s">
        <v>131</v>
      </c>
      <c r="B76" s="88"/>
      <c r="C76" s="88"/>
      <c r="D76" s="88"/>
      <c r="E76" s="88"/>
      <c r="F76" s="88"/>
      <c r="G76" s="89"/>
      <c r="H76" s="75">
        <f t="shared" ref="H76:L76" si="23">(H74/H75)*100</f>
        <v>101.02257636122178</v>
      </c>
      <c r="I76" s="75">
        <f t="shared" si="23"/>
        <v>126.69683257918551</v>
      </c>
      <c r="J76" s="75">
        <f t="shared" si="23"/>
        <v>108.91089108910892</v>
      </c>
      <c r="K76" s="75">
        <f t="shared" si="23"/>
        <v>99.66244725738396</v>
      </c>
      <c r="L76" s="75">
        <f t="shared" si="23"/>
        <v>81</v>
      </c>
    </row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0">
    <mergeCell ref="A15:B15"/>
    <mergeCell ref="L3:M3"/>
    <mergeCell ref="A63:G63"/>
    <mergeCell ref="A61:G61"/>
    <mergeCell ref="A62:G62"/>
    <mergeCell ref="A1:B2"/>
    <mergeCell ref="C1:D2"/>
    <mergeCell ref="E1:J2"/>
    <mergeCell ref="A3:B3"/>
    <mergeCell ref="C3:J1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88"/>
  <sheetViews>
    <sheetView topLeftCell="A49" zoomScale="80" zoomScaleNormal="80" workbookViewId="0">
      <selection activeCell="B51" sqref="B51"/>
    </sheetView>
  </sheetViews>
  <sheetFormatPr defaultColWidth="14.42578125" defaultRowHeight="15" customHeight="1"/>
  <cols>
    <col min="1" max="1" width="20" customWidth="1"/>
    <col min="2" max="2" width="29.5703125" customWidth="1"/>
    <col min="3" max="3" width="20.28515625" customWidth="1"/>
    <col min="4" max="5" width="12.85546875" customWidth="1"/>
    <col min="6" max="6" width="18.85546875" customWidth="1"/>
    <col min="7" max="7" width="12.140625" customWidth="1"/>
    <col min="8" max="8" width="11.85546875" customWidth="1"/>
    <col min="9" max="9" width="14.28515625" customWidth="1"/>
    <col min="10" max="10" width="13.5703125" bestFit="1" customWidth="1"/>
    <col min="11" max="11" width="12.5703125" customWidth="1"/>
    <col min="12" max="12" width="17" customWidth="1"/>
    <col min="13" max="13" width="5.5703125" customWidth="1"/>
  </cols>
  <sheetData>
    <row r="1" spans="1:13" ht="15.75" customHeight="1">
      <c r="A1" s="255"/>
      <c r="B1" s="256"/>
      <c r="C1" s="258"/>
      <c r="D1" s="256"/>
      <c r="E1" s="261"/>
      <c r="F1" s="262"/>
      <c r="G1" s="262"/>
      <c r="H1" s="262"/>
      <c r="I1" s="262"/>
      <c r="J1" s="263"/>
    </row>
    <row r="2" spans="1:13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</row>
    <row r="3" spans="1:13" ht="16.5" customHeight="1">
      <c r="A3" s="266" t="s">
        <v>0</v>
      </c>
      <c r="B3" s="267"/>
      <c r="C3" s="275"/>
      <c r="D3" s="269"/>
      <c r="E3" s="269"/>
      <c r="F3" s="269"/>
      <c r="G3" s="269"/>
      <c r="H3" s="269"/>
      <c r="I3" s="269"/>
      <c r="J3" s="256"/>
    </row>
    <row r="4" spans="1:13" ht="15.75">
      <c r="A4" s="12" t="s">
        <v>5</v>
      </c>
      <c r="B4" s="13" t="s">
        <v>6</v>
      </c>
      <c r="C4" s="252"/>
      <c r="D4" s="270"/>
      <c r="E4" s="270"/>
      <c r="F4" s="270"/>
      <c r="G4" s="270"/>
      <c r="H4" s="270"/>
      <c r="I4" s="270"/>
      <c r="J4" s="271"/>
      <c r="L4" s="241" t="s">
        <v>63</v>
      </c>
      <c r="M4" s="240"/>
    </row>
    <row r="5" spans="1:13" ht="15.75">
      <c r="A5" s="2" t="s">
        <v>54</v>
      </c>
      <c r="B5" s="2" t="s">
        <v>54</v>
      </c>
      <c r="C5" s="252"/>
      <c r="D5" s="270"/>
      <c r="E5" s="270"/>
      <c r="F5" s="270"/>
      <c r="G5" s="270"/>
      <c r="H5" s="270"/>
      <c r="I5" s="270"/>
      <c r="J5" s="271"/>
      <c r="L5" s="9" t="s">
        <v>64</v>
      </c>
      <c r="M5" s="9">
        <v>1043</v>
      </c>
    </row>
    <row r="6" spans="1:13" ht="15.75">
      <c r="A6" s="2" t="s">
        <v>211</v>
      </c>
      <c r="B6" s="2" t="s">
        <v>211</v>
      </c>
      <c r="C6" s="252"/>
      <c r="D6" s="270"/>
      <c r="E6" s="270"/>
      <c r="F6" s="270"/>
      <c r="G6" s="270"/>
      <c r="H6" s="270"/>
      <c r="I6" s="270"/>
      <c r="J6" s="271"/>
      <c r="L6" s="9" t="s">
        <v>67</v>
      </c>
      <c r="M6" s="9">
        <f>1070+253+1</f>
        <v>1324</v>
      </c>
    </row>
    <row r="7" spans="1:13" ht="15.75">
      <c r="A7" s="3" t="s">
        <v>57</v>
      </c>
      <c r="B7" s="3" t="s">
        <v>57</v>
      </c>
      <c r="C7" s="252"/>
      <c r="D7" s="270"/>
      <c r="E7" s="270"/>
      <c r="F7" s="270"/>
      <c r="G7" s="270"/>
      <c r="H7" s="270"/>
      <c r="I7" s="270"/>
      <c r="J7" s="271"/>
      <c r="L7" s="9" t="s">
        <v>65</v>
      </c>
      <c r="M7" s="9">
        <v>204</v>
      </c>
    </row>
    <row r="8" spans="1:13" ht="15.75">
      <c r="A8" s="3"/>
      <c r="B8" s="3" t="s">
        <v>60</v>
      </c>
      <c r="C8" s="252"/>
      <c r="D8" s="270"/>
      <c r="E8" s="270"/>
      <c r="F8" s="270"/>
      <c r="G8" s="270"/>
      <c r="H8" s="270"/>
      <c r="I8" s="270"/>
      <c r="J8" s="271"/>
      <c r="L8" s="9" t="s">
        <v>66</v>
      </c>
      <c r="M8" s="9">
        <f>297+16+1</f>
        <v>314</v>
      </c>
    </row>
    <row r="9" spans="1:13" ht="15.75">
      <c r="A9" s="3"/>
      <c r="B9" s="3"/>
      <c r="C9" s="252"/>
      <c r="D9" s="270"/>
      <c r="E9" s="270"/>
      <c r="F9" s="270"/>
      <c r="G9" s="270"/>
      <c r="H9" s="270"/>
      <c r="I9" s="270"/>
      <c r="J9" s="271"/>
      <c r="L9" s="9" t="s">
        <v>70</v>
      </c>
      <c r="M9" s="9">
        <f>M8+M7</f>
        <v>518</v>
      </c>
    </row>
    <row r="10" spans="1:13" ht="15.75">
      <c r="A10" s="15"/>
      <c r="B10" s="15"/>
      <c r="C10" s="252"/>
      <c r="D10" s="270"/>
      <c r="E10" s="270"/>
      <c r="F10" s="270"/>
      <c r="G10" s="270"/>
      <c r="H10" s="270"/>
      <c r="I10" s="270"/>
      <c r="J10" s="271"/>
      <c r="L10" s="9" t="s">
        <v>71</v>
      </c>
      <c r="M10" s="9">
        <f>M7+M5</f>
        <v>1247</v>
      </c>
    </row>
    <row r="11" spans="1:13" ht="15.75">
      <c r="A11" s="15"/>
      <c r="B11" s="15"/>
      <c r="C11" s="252"/>
      <c r="D11" s="270"/>
      <c r="E11" s="270"/>
      <c r="F11" s="270"/>
      <c r="G11" s="270"/>
      <c r="H11" s="270"/>
      <c r="I11" s="270"/>
      <c r="J11" s="271"/>
      <c r="L11" s="9" t="s">
        <v>72</v>
      </c>
      <c r="M11" s="9">
        <f>M6+M8</f>
        <v>1638</v>
      </c>
    </row>
    <row r="12" spans="1:13" ht="15.75">
      <c r="A12" s="15"/>
      <c r="B12" s="15"/>
      <c r="C12" s="252"/>
      <c r="D12" s="270"/>
      <c r="E12" s="270"/>
      <c r="F12" s="270"/>
      <c r="G12" s="270"/>
      <c r="H12" s="270"/>
      <c r="I12" s="270"/>
      <c r="J12" s="271"/>
      <c r="L12" s="11" t="s">
        <v>73</v>
      </c>
      <c r="M12" s="11">
        <f>SUM(M5:M8)</f>
        <v>2885</v>
      </c>
    </row>
    <row r="13" spans="1:13" ht="15.75">
      <c r="A13" s="90"/>
      <c r="B13" s="91"/>
      <c r="C13" s="253"/>
      <c r="D13" s="264"/>
      <c r="E13" s="264"/>
      <c r="F13" s="264"/>
      <c r="G13" s="264"/>
      <c r="H13" s="264"/>
      <c r="I13" s="264"/>
      <c r="J13" s="257"/>
    </row>
    <row r="14" spans="1:13" ht="15.75">
      <c r="A14" s="278" t="s">
        <v>77</v>
      </c>
      <c r="B14" s="240"/>
      <c r="C14" s="17" t="s">
        <v>78</v>
      </c>
      <c r="D14" s="18" t="s">
        <v>79</v>
      </c>
      <c r="E14" s="17" t="s">
        <v>80</v>
      </c>
      <c r="F14" s="17" t="s">
        <v>81</v>
      </c>
      <c r="G14" s="19" t="s">
        <v>82</v>
      </c>
      <c r="H14" s="17" t="s">
        <v>83</v>
      </c>
      <c r="I14" s="17" t="s">
        <v>84</v>
      </c>
      <c r="J14" s="17" t="s">
        <v>85</v>
      </c>
    </row>
    <row r="15" spans="1:13" ht="15.75">
      <c r="A15" s="21"/>
      <c r="B15" s="22" t="s">
        <v>150</v>
      </c>
      <c r="C15" s="33">
        <v>1</v>
      </c>
      <c r="D15" s="47">
        <v>2367</v>
      </c>
      <c r="E15" s="25">
        <f>C15*D15</f>
        <v>2367</v>
      </c>
      <c r="F15" s="25">
        <f>(E15+(E15*3%))</f>
        <v>2438.0100000000002</v>
      </c>
      <c r="G15" s="33">
        <f>+F15</f>
        <v>2438.0100000000002</v>
      </c>
      <c r="H15" s="28" t="s">
        <v>94</v>
      </c>
      <c r="I15" s="111">
        <v>2200</v>
      </c>
      <c r="J15" s="112">
        <f>G15*I15</f>
        <v>5363622.0000000009</v>
      </c>
      <c r="K15" s="118">
        <f>E15/1000</f>
        <v>2.367</v>
      </c>
    </row>
    <row r="16" spans="1:13" ht="15.75">
      <c r="A16" s="29" t="s">
        <v>87</v>
      </c>
      <c r="B16" s="30"/>
      <c r="C16" s="30"/>
      <c r="D16" s="30"/>
      <c r="E16" s="30"/>
      <c r="F16" s="30"/>
      <c r="G16" s="30"/>
      <c r="H16" s="116"/>
      <c r="I16" s="114"/>
      <c r="J16" s="112">
        <f t="shared" ref="J16:J24" si="0">G16*I16</f>
        <v>0</v>
      </c>
      <c r="K16" s="118">
        <f t="shared" ref="K16:K42" si="1">E16/1000</f>
        <v>0</v>
      </c>
    </row>
    <row r="17" spans="1:11" ht="15.75">
      <c r="A17" s="21" t="s">
        <v>151</v>
      </c>
      <c r="B17" s="22" t="s">
        <v>152</v>
      </c>
      <c r="C17" s="33">
        <v>25</v>
      </c>
      <c r="D17" s="47">
        <v>2367</v>
      </c>
      <c r="E17" s="25">
        <f>C17*D17</f>
        <v>59175</v>
      </c>
      <c r="F17" s="25">
        <f>(E17+(E17*3%))</f>
        <v>60950.25</v>
      </c>
      <c r="G17" s="33">
        <f>+F17/1000</f>
        <v>60.950249999999997</v>
      </c>
      <c r="H17" s="28" t="s">
        <v>86</v>
      </c>
      <c r="I17" s="111">
        <v>29500</v>
      </c>
      <c r="J17" s="112">
        <f t="shared" si="0"/>
        <v>1798032.375</v>
      </c>
      <c r="K17" s="118">
        <f t="shared" si="1"/>
        <v>59.174999999999997</v>
      </c>
    </row>
    <row r="18" spans="1:11" ht="15.75" customHeight="1">
      <c r="A18" s="36" t="s">
        <v>92</v>
      </c>
      <c r="B18" s="37"/>
      <c r="C18" s="37"/>
      <c r="D18" s="37"/>
      <c r="E18" s="37"/>
      <c r="F18" s="37"/>
      <c r="G18" s="37"/>
      <c r="H18" s="117"/>
      <c r="I18" s="114"/>
      <c r="J18" s="112">
        <f t="shared" si="0"/>
        <v>0</v>
      </c>
      <c r="K18" s="118">
        <f t="shared" si="1"/>
        <v>0</v>
      </c>
    </row>
    <row r="19" spans="1:11" ht="15.75" customHeight="1">
      <c r="A19" s="21"/>
      <c r="B19" s="92" t="s">
        <v>153</v>
      </c>
      <c r="C19" s="33">
        <v>1</v>
      </c>
      <c r="D19" s="24">
        <v>2367</v>
      </c>
      <c r="E19" s="25">
        <f>C19*D19</f>
        <v>2367</v>
      </c>
      <c r="F19" s="25">
        <f>(E19+(E19*3%))</f>
        <v>2438.0100000000002</v>
      </c>
      <c r="G19" s="33">
        <f>F19</f>
        <v>2438.0100000000002</v>
      </c>
      <c r="H19" s="28" t="s">
        <v>95</v>
      </c>
      <c r="I19" s="111">
        <v>2300</v>
      </c>
      <c r="J19" s="112">
        <f t="shared" si="0"/>
        <v>5607423.0000000009</v>
      </c>
      <c r="K19" s="118">
        <f t="shared" si="1"/>
        <v>2.367</v>
      </c>
    </row>
    <row r="20" spans="1:11" ht="15.75" customHeight="1">
      <c r="A20" s="41" t="s">
        <v>96</v>
      </c>
      <c r="B20" s="42"/>
      <c r="C20" s="42"/>
      <c r="D20" s="42"/>
      <c r="E20" s="42"/>
      <c r="F20" s="42"/>
      <c r="G20" s="42"/>
      <c r="H20" s="107"/>
      <c r="I20" s="114"/>
      <c r="J20" s="112">
        <f t="shared" si="0"/>
        <v>0</v>
      </c>
      <c r="K20" s="118">
        <f t="shared" si="1"/>
        <v>0</v>
      </c>
    </row>
    <row r="21" spans="1:11" ht="15.75" customHeight="1">
      <c r="A21" s="21"/>
      <c r="B21" s="22" t="s">
        <v>154</v>
      </c>
      <c r="C21" s="33">
        <f>5*4</f>
        <v>20</v>
      </c>
      <c r="D21" s="24">
        <v>2367</v>
      </c>
      <c r="E21" s="25">
        <f>C21*D21</f>
        <v>47340</v>
      </c>
      <c r="F21" s="25">
        <f>(E21+(E21*3%))</f>
        <v>48760.2</v>
      </c>
      <c r="G21" s="33">
        <f>+F21/1000</f>
        <v>48.760199999999998</v>
      </c>
      <c r="H21" s="28" t="s">
        <v>86</v>
      </c>
      <c r="I21" s="111">
        <v>25000</v>
      </c>
      <c r="J21" s="112">
        <f t="shared" si="0"/>
        <v>1219005</v>
      </c>
      <c r="K21" s="118">
        <f t="shared" si="1"/>
        <v>47.34</v>
      </c>
    </row>
    <row r="22" spans="1:11" ht="15.75" customHeight="1">
      <c r="A22" s="44" t="s">
        <v>97</v>
      </c>
      <c r="B22" s="45"/>
      <c r="C22" s="45"/>
      <c r="D22" s="45"/>
      <c r="E22" s="45"/>
      <c r="F22" s="45"/>
      <c r="G22" s="45"/>
      <c r="H22" s="108"/>
      <c r="I22" s="114"/>
      <c r="J22" s="112">
        <f t="shared" si="0"/>
        <v>0</v>
      </c>
      <c r="K22" s="118">
        <f t="shared" si="1"/>
        <v>0</v>
      </c>
    </row>
    <row r="23" spans="1:11" ht="15.75" customHeight="1">
      <c r="A23" s="21"/>
      <c r="B23" s="93"/>
      <c r="C23" s="33">
        <v>0</v>
      </c>
      <c r="D23" s="47">
        <v>1043</v>
      </c>
      <c r="E23" s="25">
        <f t="shared" ref="E23:E24" si="2">C23*D23</f>
        <v>0</v>
      </c>
      <c r="F23" s="25">
        <f t="shared" ref="F23:F24" si="3">(E23+(E23*3%))</f>
        <v>0</v>
      </c>
      <c r="G23" s="33">
        <f>+F23/1000</f>
        <v>0</v>
      </c>
      <c r="H23" s="28" t="s">
        <v>94</v>
      </c>
      <c r="I23" s="111">
        <v>50000</v>
      </c>
      <c r="J23" s="112">
        <f t="shared" si="0"/>
        <v>0</v>
      </c>
      <c r="K23" s="118">
        <f t="shared" si="1"/>
        <v>0</v>
      </c>
    </row>
    <row r="24" spans="1:11" ht="15.75" customHeight="1">
      <c r="A24" s="21"/>
      <c r="B24" s="93" t="s">
        <v>61</v>
      </c>
      <c r="C24" s="33">
        <v>35</v>
      </c>
      <c r="D24" s="24">
        <v>1324</v>
      </c>
      <c r="E24" s="25">
        <f t="shared" si="2"/>
        <v>46340</v>
      </c>
      <c r="F24" s="25">
        <f t="shared" si="3"/>
        <v>47730.2</v>
      </c>
      <c r="G24" s="33">
        <f>+F24/1000</f>
        <v>47.730199999999996</v>
      </c>
      <c r="H24" s="28" t="s">
        <v>86</v>
      </c>
      <c r="I24" s="111">
        <v>40000</v>
      </c>
      <c r="J24" s="112">
        <f t="shared" si="0"/>
        <v>1909207.9999999998</v>
      </c>
      <c r="K24" s="118">
        <f t="shared" si="1"/>
        <v>46.34</v>
      </c>
    </row>
    <row r="25" spans="1:11" ht="15.75" customHeight="1">
      <c r="A25" s="48" t="s">
        <v>99</v>
      </c>
      <c r="B25" s="49"/>
      <c r="C25" s="49"/>
      <c r="D25" s="49"/>
      <c r="E25" s="49"/>
      <c r="F25" s="49"/>
      <c r="G25" s="49"/>
      <c r="H25" s="109"/>
      <c r="I25" s="114"/>
      <c r="J25" s="115"/>
      <c r="K25" s="118">
        <f t="shared" si="1"/>
        <v>0</v>
      </c>
    </row>
    <row r="26" spans="1:11" ht="15.75" customHeight="1">
      <c r="A26" s="21"/>
      <c r="B26" s="84" t="s">
        <v>155</v>
      </c>
      <c r="C26" s="33">
        <v>3</v>
      </c>
      <c r="D26" s="47">
        <v>2367</v>
      </c>
      <c r="E26" s="25">
        <f t="shared" ref="E26:E45" si="4">C26*D26</f>
        <v>7101</v>
      </c>
      <c r="F26" s="25">
        <f t="shared" ref="F26:F45" si="5">(E26+(E26*3%))</f>
        <v>7314.03</v>
      </c>
      <c r="G26" s="33">
        <f t="shared" ref="G26:G27" si="6">F26/1000</f>
        <v>7.3140299999999998</v>
      </c>
      <c r="H26" s="28" t="s">
        <v>156</v>
      </c>
      <c r="I26" s="111">
        <v>14000</v>
      </c>
      <c r="J26" s="112">
        <f>K26*I26</f>
        <v>99414</v>
      </c>
      <c r="K26" s="118">
        <f t="shared" si="1"/>
        <v>7.101</v>
      </c>
    </row>
    <row r="27" spans="1:11" ht="15.75" customHeight="1">
      <c r="A27" s="26"/>
      <c r="B27" s="26" t="s">
        <v>143</v>
      </c>
      <c r="C27" s="85">
        <v>6</v>
      </c>
      <c r="D27" s="47">
        <v>2367</v>
      </c>
      <c r="E27" s="25">
        <f t="shared" si="4"/>
        <v>14202</v>
      </c>
      <c r="F27" s="25">
        <f t="shared" si="5"/>
        <v>14628.06</v>
      </c>
      <c r="G27" s="33">
        <f t="shared" si="6"/>
        <v>14.62806</v>
      </c>
      <c r="H27" s="28" t="s">
        <v>86</v>
      </c>
      <c r="I27" s="111">
        <v>32000</v>
      </c>
      <c r="J27" s="112">
        <f t="shared" ref="J27:J42" si="7">K27*I27</f>
        <v>454464</v>
      </c>
      <c r="K27" s="118">
        <f t="shared" si="1"/>
        <v>14.202</v>
      </c>
    </row>
    <row r="28" spans="1:11" ht="15.75" customHeight="1">
      <c r="A28" s="26"/>
      <c r="B28" s="26" t="s">
        <v>157</v>
      </c>
      <c r="C28" s="50">
        <v>10</v>
      </c>
      <c r="D28" s="47">
        <v>2367</v>
      </c>
      <c r="E28" s="25">
        <f t="shared" si="4"/>
        <v>23670</v>
      </c>
      <c r="F28" s="25">
        <f t="shared" si="5"/>
        <v>24380.1</v>
      </c>
      <c r="G28" s="33">
        <f t="shared" ref="G28:G34" si="8">+F28/1000</f>
        <v>24.380099999999999</v>
      </c>
      <c r="H28" s="28" t="s">
        <v>86</v>
      </c>
      <c r="I28" s="111">
        <v>16000</v>
      </c>
      <c r="J28" s="112">
        <f t="shared" si="7"/>
        <v>378720</v>
      </c>
      <c r="K28" s="118">
        <f t="shared" si="1"/>
        <v>23.67</v>
      </c>
    </row>
    <row r="29" spans="1:11" ht="15.75" customHeight="1">
      <c r="A29" s="26"/>
      <c r="B29" s="26" t="s">
        <v>158</v>
      </c>
      <c r="C29" s="50">
        <v>0.7</v>
      </c>
      <c r="D29" s="47">
        <v>2367</v>
      </c>
      <c r="E29" s="25">
        <f t="shared" si="4"/>
        <v>1656.8999999999999</v>
      </c>
      <c r="F29" s="25">
        <f t="shared" si="5"/>
        <v>1706.607</v>
      </c>
      <c r="G29" s="33">
        <f t="shared" si="8"/>
        <v>1.706607</v>
      </c>
      <c r="H29" s="28" t="s">
        <v>86</v>
      </c>
      <c r="I29" s="111">
        <v>27000</v>
      </c>
      <c r="J29" s="112">
        <f t="shared" si="7"/>
        <v>44736.299999999996</v>
      </c>
      <c r="K29" s="118">
        <f t="shared" si="1"/>
        <v>1.6568999999999998</v>
      </c>
    </row>
    <row r="30" spans="1:11" ht="15.75" customHeight="1">
      <c r="A30" s="26"/>
      <c r="B30" s="26" t="s">
        <v>159</v>
      </c>
      <c r="C30" s="50">
        <v>0.7</v>
      </c>
      <c r="D30" s="47">
        <v>2367</v>
      </c>
      <c r="E30" s="25">
        <f t="shared" si="4"/>
        <v>1656.8999999999999</v>
      </c>
      <c r="F30" s="25">
        <f t="shared" si="5"/>
        <v>1706.607</v>
      </c>
      <c r="G30" s="33">
        <f t="shared" si="8"/>
        <v>1.706607</v>
      </c>
      <c r="H30" s="28" t="s">
        <v>86</v>
      </c>
      <c r="I30" s="111">
        <v>49000</v>
      </c>
      <c r="J30" s="112">
        <f t="shared" si="7"/>
        <v>81188.099999999991</v>
      </c>
      <c r="K30" s="118">
        <f t="shared" si="1"/>
        <v>1.6568999999999998</v>
      </c>
    </row>
    <row r="31" spans="1:11" ht="15.75" customHeight="1">
      <c r="A31" s="26"/>
      <c r="B31" s="26" t="s">
        <v>160</v>
      </c>
      <c r="C31" s="50">
        <v>0.5</v>
      </c>
      <c r="D31" s="47">
        <v>2367</v>
      </c>
      <c r="E31" s="25">
        <f t="shared" si="4"/>
        <v>1183.5</v>
      </c>
      <c r="F31" s="25">
        <f t="shared" si="5"/>
        <v>1219.0050000000001</v>
      </c>
      <c r="G31" s="33">
        <f t="shared" si="8"/>
        <v>1.2190050000000001</v>
      </c>
      <c r="H31" s="28" t="s">
        <v>86</v>
      </c>
      <c r="I31" s="111">
        <v>49000</v>
      </c>
      <c r="J31" s="112">
        <f t="shared" si="7"/>
        <v>57991.5</v>
      </c>
      <c r="K31" s="118">
        <f t="shared" si="1"/>
        <v>1.1835</v>
      </c>
    </row>
    <row r="32" spans="1:11" ht="15.75" customHeight="1">
      <c r="A32" s="26"/>
      <c r="B32" s="26" t="s">
        <v>161</v>
      </c>
      <c r="C32" s="50">
        <v>0.7</v>
      </c>
      <c r="D32" s="47">
        <v>2367</v>
      </c>
      <c r="E32" s="25">
        <f t="shared" si="4"/>
        <v>1656.8999999999999</v>
      </c>
      <c r="F32" s="25">
        <f t="shared" si="5"/>
        <v>1706.607</v>
      </c>
      <c r="G32" s="33">
        <f t="shared" si="8"/>
        <v>1.706607</v>
      </c>
      <c r="H32" s="28" t="s">
        <v>86</v>
      </c>
      <c r="I32" s="111">
        <v>59000</v>
      </c>
      <c r="J32" s="112">
        <f t="shared" si="7"/>
        <v>97757.099999999991</v>
      </c>
      <c r="K32" s="118">
        <f t="shared" si="1"/>
        <v>1.6568999999999998</v>
      </c>
    </row>
    <row r="33" spans="1:11" ht="15.75" customHeight="1">
      <c r="A33" s="26"/>
      <c r="B33" s="26" t="s">
        <v>162</v>
      </c>
      <c r="C33" s="50">
        <v>10</v>
      </c>
      <c r="D33" s="47">
        <v>2367</v>
      </c>
      <c r="E33" s="25">
        <f t="shared" si="4"/>
        <v>23670</v>
      </c>
      <c r="F33" s="25">
        <f t="shared" si="5"/>
        <v>24380.1</v>
      </c>
      <c r="G33" s="33">
        <f t="shared" si="8"/>
        <v>24.380099999999999</v>
      </c>
      <c r="H33" s="28" t="s">
        <v>86</v>
      </c>
      <c r="I33" s="111">
        <v>13000</v>
      </c>
      <c r="J33" s="112">
        <f t="shared" si="7"/>
        <v>307710</v>
      </c>
      <c r="K33" s="118">
        <f t="shared" si="1"/>
        <v>23.67</v>
      </c>
    </row>
    <row r="34" spans="1:11" ht="15.75" customHeight="1">
      <c r="A34" s="26"/>
      <c r="B34" s="26" t="s">
        <v>163</v>
      </c>
      <c r="C34" s="50">
        <v>3</v>
      </c>
      <c r="D34" s="47">
        <v>2367</v>
      </c>
      <c r="E34" s="25">
        <f t="shared" si="4"/>
        <v>7101</v>
      </c>
      <c r="F34" s="25">
        <f t="shared" si="5"/>
        <v>7314.03</v>
      </c>
      <c r="G34" s="33">
        <f t="shared" si="8"/>
        <v>7.3140299999999998</v>
      </c>
      <c r="H34" s="28" t="s">
        <v>86</v>
      </c>
      <c r="I34" s="111">
        <v>19000</v>
      </c>
      <c r="J34" s="112">
        <f t="shared" si="7"/>
        <v>134919</v>
      </c>
      <c r="K34" s="118">
        <f t="shared" si="1"/>
        <v>7.101</v>
      </c>
    </row>
    <row r="35" spans="1:11" ht="15.75" customHeight="1">
      <c r="A35" s="26"/>
      <c r="B35" s="26" t="s">
        <v>110</v>
      </c>
      <c r="C35" s="50">
        <v>10</v>
      </c>
      <c r="D35" s="47">
        <v>2367</v>
      </c>
      <c r="E35" s="25">
        <f t="shared" si="4"/>
        <v>23670</v>
      </c>
      <c r="F35" s="25">
        <f t="shared" si="5"/>
        <v>24380.1</v>
      </c>
      <c r="G35" s="33">
        <f>F35/1000</f>
        <v>24.380099999999999</v>
      </c>
      <c r="H35" s="28" t="s">
        <v>164</v>
      </c>
      <c r="I35" s="111">
        <v>19500</v>
      </c>
      <c r="J35" s="112">
        <f t="shared" si="7"/>
        <v>461565.00000000006</v>
      </c>
      <c r="K35" s="118">
        <f t="shared" si="1"/>
        <v>23.67</v>
      </c>
    </row>
    <row r="36" spans="1:11" ht="15.75" customHeight="1">
      <c r="A36" s="26"/>
      <c r="B36" s="26" t="s">
        <v>180</v>
      </c>
      <c r="C36" s="50">
        <v>2</v>
      </c>
      <c r="D36" s="47">
        <v>2367</v>
      </c>
      <c r="E36" s="25">
        <f t="shared" si="4"/>
        <v>4734</v>
      </c>
      <c r="F36" s="25">
        <f t="shared" si="5"/>
        <v>4876.0200000000004</v>
      </c>
      <c r="G36" s="33">
        <f>F36</f>
        <v>4876.0200000000004</v>
      </c>
      <c r="H36" s="28" t="s">
        <v>95</v>
      </c>
      <c r="I36" s="111">
        <v>450</v>
      </c>
      <c r="J36" s="112">
        <f>G36*I36</f>
        <v>2194209</v>
      </c>
      <c r="K36" s="118">
        <f t="shared" si="1"/>
        <v>4.734</v>
      </c>
    </row>
    <row r="37" spans="1:11" ht="15.75" customHeight="1">
      <c r="A37" s="26"/>
      <c r="B37" s="26" t="s">
        <v>103</v>
      </c>
      <c r="C37" s="50">
        <v>1</v>
      </c>
      <c r="D37" s="47">
        <v>2367</v>
      </c>
      <c r="E37" s="25">
        <f t="shared" si="4"/>
        <v>2367</v>
      </c>
      <c r="F37" s="25">
        <f t="shared" si="5"/>
        <v>2438.0100000000002</v>
      </c>
      <c r="G37" s="33">
        <f t="shared" ref="G37:G41" si="9">F37/1000</f>
        <v>2.4380100000000002</v>
      </c>
      <c r="H37" s="28" t="s">
        <v>86</v>
      </c>
      <c r="I37" s="111">
        <v>45000</v>
      </c>
      <c r="J37" s="112">
        <f t="shared" si="7"/>
        <v>106515</v>
      </c>
      <c r="K37" s="118">
        <f t="shared" si="1"/>
        <v>2.367</v>
      </c>
    </row>
    <row r="38" spans="1:11" ht="15.75" customHeight="1">
      <c r="A38" s="26"/>
      <c r="B38" s="26" t="s">
        <v>104</v>
      </c>
      <c r="C38" s="50">
        <v>1.2</v>
      </c>
      <c r="D38" s="47">
        <v>2367</v>
      </c>
      <c r="E38" s="25">
        <f t="shared" si="4"/>
        <v>2840.4</v>
      </c>
      <c r="F38" s="25">
        <f t="shared" si="5"/>
        <v>2925.6120000000001</v>
      </c>
      <c r="G38" s="33">
        <f t="shared" si="9"/>
        <v>2.9256120000000001</v>
      </c>
      <c r="H38" s="28" t="s">
        <v>86</v>
      </c>
      <c r="I38" s="111">
        <v>43000</v>
      </c>
      <c r="J38" s="112">
        <f t="shared" si="7"/>
        <v>122137.20000000001</v>
      </c>
      <c r="K38" s="118">
        <f t="shared" si="1"/>
        <v>2.8404000000000003</v>
      </c>
    </row>
    <row r="39" spans="1:11" ht="15.75" customHeight="1">
      <c r="A39" s="26"/>
      <c r="B39" s="26" t="s">
        <v>106</v>
      </c>
      <c r="C39" s="50">
        <v>1.5</v>
      </c>
      <c r="D39" s="47">
        <v>2367</v>
      </c>
      <c r="E39" s="25">
        <f t="shared" si="4"/>
        <v>3550.5</v>
      </c>
      <c r="F39" s="25">
        <f t="shared" si="5"/>
        <v>3657.0149999999999</v>
      </c>
      <c r="G39" s="33">
        <f t="shared" si="9"/>
        <v>3.6570149999999999</v>
      </c>
      <c r="H39" s="28" t="s">
        <v>86</v>
      </c>
      <c r="I39" s="111">
        <v>13000</v>
      </c>
      <c r="J39" s="112">
        <f t="shared" si="7"/>
        <v>46156.5</v>
      </c>
      <c r="K39" s="118">
        <f t="shared" si="1"/>
        <v>3.5505</v>
      </c>
    </row>
    <row r="40" spans="1:11" ht="15.75" customHeight="1">
      <c r="A40" s="26"/>
      <c r="B40" s="26" t="s">
        <v>107</v>
      </c>
      <c r="C40" s="50">
        <v>1</v>
      </c>
      <c r="D40" s="47">
        <v>2367</v>
      </c>
      <c r="E40" s="25">
        <f t="shared" si="4"/>
        <v>2367</v>
      </c>
      <c r="F40" s="25">
        <f t="shared" si="5"/>
        <v>2438.0100000000002</v>
      </c>
      <c r="G40" s="33">
        <f t="shared" si="9"/>
        <v>2.4380100000000002</v>
      </c>
      <c r="H40" s="28" t="s">
        <v>86</v>
      </c>
      <c r="I40" s="111">
        <v>102000</v>
      </c>
      <c r="J40" s="112">
        <f t="shared" si="7"/>
        <v>241434</v>
      </c>
      <c r="K40" s="118">
        <f t="shared" si="1"/>
        <v>2.367</v>
      </c>
    </row>
    <row r="41" spans="1:11" ht="15.75" customHeight="1">
      <c r="A41" s="26"/>
      <c r="B41" s="26" t="s">
        <v>109</v>
      </c>
      <c r="C41" s="50">
        <v>0.5</v>
      </c>
      <c r="D41" s="47">
        <v>2367</v>
      </c>
      <c r="E41" s="25">
        <f t="shared" si="4"/>
        <v>1183.5</v>
      </c>
      <c r="F41" s="25">
        <f t="shared" si="5"/>
        <v>1219.0050000000001</v>
      </c>
      <c r="G41" s="33">
        <f t="shared" si="9"/>
        <v>1.2190050000000001</v>
      </c>
      <c r="H41" s="28" t="s">
        <v>86</v>
      </c>
      <c r="I41" s="111">
        <v>53000</v>
      </c>
      <c r="J41" s="112">
        <f t="shared" si="7"/>
        <v>62725.5</v>
      </c>
      <c r="K41" s="118">
        <f t="shared" si="1"/>
        <v>1.1835</v>
      </c>
    </row>
    <row r="42" spans="1:11" ht="15.75" customHeight="1">
      <c r="A42" s="51"/>
      <c r="B42" s="51" t="s">
        <v>184</v>
      </c>
      <c r="C42" s="94">
        <v>1</v>
      </c>
      <c r="D42" s="47">
        <v>2367</v>
      </c>
      <c r="E42" s="53">
        <f t="shared" si="4"/>
        <v>2367</v>
      </c>
      <c r="F42" s="53">
        <f t="shared" si="5"/>
        <v>2438.0100000000002</v>
      </c>
      <c r="G42" s="54">
        <f>F42/1000</f>
        <v>2.4380100000000002</v>
      </c>
      <c r="H42" s="55" t="s">
        <v>86</v>
      </c>
      <c r="I42" s="111">
        <v>60000</v>
      </c>
      <c r="J42" s="112">
        <f t="shared" si="7"/>
        <v>142020</v>
      </c>
      <c r="K42" s="118">
        <f t="shared" si="1"/>
        <v>2.367</v>
      </c>
    </row>
    <row r="43" spans="1:11" ht="15.75" customHeight="1">
      <c r="A43" s="26"/>
      <c r="B43" s="26" t="s">
        <v>165</v>
      </c>
      <c r="C43" s="50">
        <v>1</v>
      </c>
      <c r="D43" s="47">
        <v>2367</v>
      </c>
      <c r="E43" s="25">
        <f t="shared" si="4"/>
        <v>2367</v>
      </c>
      <c r="F43" s="25">
        <f t="shared" si="5"/>
        <v>2438.0100000000002</v>
      </c>
      <c r="G43" s="33">
        <f t="shared" ref="G43:G45" si="10">F43</f>
        <v>2438.0100000000002</v>
      </c>
      <c r="H43" s="28" t="s">
        <v>94</v>
      </c>
      <c r="I43" s="34"/>
      <c r="J43" s="112">
        <f>SUM(J15:J42)</f>
        <v>20930952.575000003</v>
      </c>
    </row>
    <row r="44" spans="1:11" ht="15.75" customHeight="1">
      <c r="A44" s="51"/>
      <c r="B44" s="51" t="s">
        <v>166</v>
      </c>
      <c r="C44" s="94">
        <v>1</v>
      </c>
      <c r="D44" s="47">
        <v>2367</v>
      </c>
      <c r="E44" s="53">
        <f t="shared" si="4"/>
        <v>2367</v>
      </c>
      <c r="F44" s="53">
        <f t="shared" si="5"/>
        <v>2438.0100000000002</v>
      </c>
      <c r="G44" s="54">
        <f t="shared" si="10"/>
        <v>2438.0100000000002</v>
      </c>
      <c r="H44" s="55" t="s">
        <v>94</v>
      </c>
      <c r="I44" s="26"/>
      <c r="J44" s="5"/>
    </row>
    <row r="45" spans="1:11" ht="15.75" customHeight="1">
      <c r="A45" s="26"/>
      <c r="B45" s="26" t="s">
        <v>147</v>
      </c>
      <c r="C45" s="21">
        <v>1</v>
      </c>
      <c r="D45" s="26">
        <v>1324</v>
      </c>
      <c r="E45" s="53">
        <f t="shared" si="4"/>
        <v>1324</v>
      </c>
      <c r="F45" s="53">
        <f t="shared" si="5"/>
        <v>1363.72</v>
      </c>
      <c r="G45" s="54">
        <f t="shared" si="10"/>
        <v>1363.72</v>
      </c>
      <c r="H45" s="56" t="s">
        <v>94</v>
      </c>
      <c r="I45" s="26"/>
      <c r="J45" s="87"/>
    </row>
    <row r="46" spans="1:11" ht="15.75" customHeight="1">
      <c r="A46" s="57"/>
      <c r="B46" s="57"/>
      <c r="C46" s="57"/>
      <c r="D46" s="57"/>
      <c r="E46" s="57"/>
      <c r="F46" s="57"/>
      <c r="G46" s="57"/>
      <c r="H46" s="60"/>
      <c r="I46" s="57"/>
    </row>
    <row r="47" spans="1:11" ht="15.75" customHeight="1">
      <c r="A47" s="57"/>
      <c r="B47" s="57"/>
      <c r="C47" s="57"/>
      <c r="D47" s="57"/>
      <c r="E47" s="57"/>
      <c r="F47" s="57"/>
      <c r="G47" s="57"/>
      <c r="H47" s="60"/>
      <c r="I47" s="57"/>
    </row>
    <row r="48" spans="1:11" ht="15.75" customHeight="1">
      <c r="A48" s="57"/>
      <c r="B48" s="57"/>
      <c r="C48" s="57"/>
      <c r="D48" s="57"/>
      <c r="E48" s="57"/>
      <c r="F48" s="57"/>
      <c r="G48" s="57"/>
      <c r="H48" s="60"/>
      <c r="I48" s="57"/>
    </row>
    <row r="49" spans="1:12" ht="15.75" customHeight="1">
      <c r="A49" s="61" t="s">
        <v>117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2" ht="15.75" customHeight="1">
      <c r="A50" s="63" t="s">
        <v>118</v>
      </c>
      <c r="B50" s="64" t="s">
        <v>119</v>
      </c>
      <c r="C50" s="63" t="s">
        <v>120</v>
      </c>
      <c r="D50" s="65" t="s">
        <v>121</v>
      </c>
      <c r="E50" s="66" t="s">
        <v>122</v>
      </c>
      <c r="F50" s="66" t="s">
        <v>123</v>
      </c>
      <c r="G50" s="67" t="s">
        <v>124</v>
      </c>
      <c r="H50" s="63" t="s">
        <v>125</v>
      </c>
      <c r="I50" s="63" t="s">
        <v>126</v>
      </c>
      <c r="J50" s="63" t="s">
        <v>127</v>
      </c>
      <c r="K50" s="63" t="s">
        <v>77</v>
      </c>
      <c r="L50" s="63" t="s">
        <v>128</v>
      </c>
    </row>
    <row r="51" spans="1:12" ht="15.75" customHeight="1">
      <c r="A51" s="39" t="s">
        <v>150</v>
      </c>
      <c r="B51" s="68">
        <v>100</v>
      </c>
      <c r="C51" s="69">
        <v>35</v>
      </c>
      <c r="D51" s="47">
        <f t="shared" ref="D51:D54" si="11">B51%*C51</f>
        <v>35</v>
      </c>
      <c r="E51" s="47">
        <v>1</v>
      </c>
      <c r="F51" s="47">
        <f t="shared" ref="F51:F54" si="12">D51/E51</f>
        <v>35</v>
      </c>
      <c r="G51" s="70"/>
      <c r="H51" s="21">
        <v>99.7</v>
      </c>
      <c r="I51" s="21">
        <v>3.6</v>
      </c>
      <c r="J51" s="21">
        <v>2</v>
      </c>
      <c r="K51" s="21">
        <v>16.3</v>
      </c>
      <c r="L51" s="21">
        <v>0.9</v>
      </c>
    </row>
    <row r="52" spans="1:12" ht="15.75" customHeight="1">
      <c r="A52" s="39" t="s">
        <v>257</v>
      </c>
      <c r="B52" s="68">
        <v>100</v>
      </c>
      <c r="C52" s="69">
        <v>60</v>
      </c>
      <c r="D52" s="47">
        <f t="shared" si="11"/>
        <v>60</v>
      </c>
      <c r="E52" s="47">
        <v>1</v>
      </c>
      <c r="F52" s="47">
        <f t="shared" si="12"/>
        <v>60</v>
      </c>
      <c r="G52" s="21"/>
      <c r="H52" s="71">
        <v>170</v>
      </c>
      <c r="I52" s="71">
        <v>13</v>
      </c>
      <c r="J52" s="71">
        <v>11</v>
      </c>
      <c r="K52" s="71">
        <v>0</v>
      </c>
      <c r="L52" s="21">
        <v>0</v>
      </c>
    </row>
    <row r="53" spans="1:12" ht="20.25" customHeight="1">
      <c r="A53" s="39" t="s">
        <v>154</v>
      </c>
      <c r="B53" s="68">
        <v>100</v>
      </c>
      <c r="C53" s="69">
        <v>20</v>
      </c>
      <c r="D53" s="47">
        <f t="shared" si="11"/>
        <v>20</v>
      </c>
      <c r="E53" s="47">
        <v>1</v>
      </c>
      <c r="F53" s="47">
        <f t="shared" si="12"/>
        <v>20</v>
      </c>
      <c r="G53" s="21"/>
      <c r="H53" s="71">
        <v>5.2</v>
      </c>
      <c r="I53" s="71">
        <v>0.2</v>
      </c>
      <c r="J53" s="71">
        <v>0</v>
      </c>
      <c r="K53" s="71">
        <v>1</v>
      </c>
      <c r="L53" s="21">
        <v>0.7</v>
      </c>
    </row>
    <row r="54" spans="1:12" ht="20.25" customHeight="1">
      <c r="A54" s="39" t="s">
        <v>258</v>
      </c>
      <c r="B54" s="68">
        <v>100</v>
      </c>
      <c r="C54" s="69">
        <v>100</v>
      </c>
      <c r="D54" s="47">
        <f t="shared" si="11"/>
        <v>100</v>
      </c>
      <c r="E54" s="47">
        <v>1</v>
      </c>
      <c r="F54" s="47">
        <f t="shared" si="12"/>
        <v>100</v>
      </c>
      <c r="G54" s="21"/>
      <c r="H54" s="71">
        <v>40</v>
      </c>
      <c r="I54" s="71">
        <v>1</v>
      </c>
      <c r="J54" s="71">
        <v>0</v>
      </c>
      <c r="K54" s="71">
        <v>9</v>
      </c>
      <c r="L54" s="21">
        <v>3</v>
      </c>
    </row>
    <row r="55" spans="1:12" ht="15.75" customHeight="1">
      <c r="A55" s="272" t="s">
        <v>129</v>
      </c>
      <c r="B55" s="239"/>
      <c r="C55" s="239"/>
      <c r="D55" s="239"/>
      <c r="E55" s="239"/>
      <c r="F55" s="239"/>
      <c r="G55" s="240"/>
      <c r="H55" s="73">
        <f>SUM(H51:H54)</f>
        <v>314.89999999999998</v>
      </c>
      <c r="I55" s="73">
        <f>SUM(I51:I54)</f>
        <v>17.8</v>
      </c>
      <c r="J55" s="73">
        <f>SUM(J51:J54)</f>
        <v>13</v>
      </c>
      <c r="K55" s="73">
        <f>SUM(K51:K54)</f>
        <v>26.3</v>
      </c>
      <c r="L55" s="73">
        <f>SUM(L51:L54)</f>
        <v>4.5999999999999996</v>
      </c>
    </row>
    <row r="56" spans="1:12" ht="15.75" customHeight="1">
      <c r="A56" s="272" t="s">
        <v>130</v>
      </c>
      <c r="B56" s="239"/>
      <c r="C56" s="239"/>
      <c r="D56" s="239"/>
      <c r="E56" s="239"/>
      <c r="F56" s="239"/>
      <c r="G56" s="240"/>
      <c r="H56" s="74">
        <v>330</v>
      </c>
      <c r="I56" s="74">
        <v>8</v>
      </c>
      <c r="J56" s="74">
        <v>11</v>
      </c>
      <c r="K56" s="74">
        <v>50</v>
      </c>
      <c r="L56" s="21">
        <v>4</v>
      </c>
    </row>
    <row r="57" spans="1:12" ht="15.75" customHeight="1">
      <c r="A57" s="272" t="s">
        <v>131</v>
      </c>
      <c r="B57" s="239"/>
      <c r="C57" s="239"/>
      <c r="D57" s="239"/>
      <c r="E57" s="239"/>
      <c r="F57" s="239"/>
      <c r="G57" s="240"/>
      <c r="H57" s="75">
        <f t="shared" ref="H57:L57" si="13">(H55/H56)*100</f>
        <v>95.424242424242422</v>
      </c>
      <c r="I57" s="75">
        <f t="shared" si="13"/>
        <v>222.5</v>
      </c>
      <c r="J57" s="75">
        <f t="shared" si="13"/>
        <v>118.18181818181819</v>
      </c>
      <c r="K57" s="75">
        <f t="shared" si="13"/>
        <v>52.6</v>
      </c>
      <c r="L57" s="75">
        <f t="shared" si="13"/>
        <v>114.99999999999999</v>
      </c>
    </row>
    <row r="58" spans="1:12" ht="15.75" customHeight="1">
      <c r="A58" s="76"/>
      <c r="B58" s="76"/>
      <c r="C58" s="76"/>
      <c r="D58" s="76"/>
      <c r="E58" s="76"/>
      <c r="F58" s="76"/>
      <c r="G58" s="76"/>
      <c r="H58" s="76"/>
      <c r="I58" s="77"/>
      <c r="J58" s="77"/>
      <c r="K58" s="57"/>
      <c r="L58" s="57"/>
    </row>
    <row r="59" spans="1:12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12" ht="15.75" customHeight="1">
      <c r="A60" s="61" t="s">
        <v>132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</row>
    <row r="61" spans="1:12" ht="15.75" customHeight="1">
      <c r="A61" s="63" t="s">
        <v>118</v>
      </c>
      <c r="B61" s="64" t="s">
        <v>119</v>
      </c>
      <c r="C61" s="63" t="s">
        <v>120</v>
      </c>
      <c r="D61" s="63" t="s">
        <v>121</v>
      </c>
      <c r="E61" s="67" t="s">
        <v>122</v>
      </c>
      <c r="F61" s="67" t="s">
        <v>123</v>
      </c>
      <c r="G61" s="67" t="s">
        <v>124</v>
      </c>
      <c r="H61" s="63" t="s">
        <v>125</v>
      </c>
      <c r="I61" s="63" t="s">
        <v>126</v>
      </c>
      <c r="J61" s="63" t="s">
        <v>127</v>
      </c>
      <c r="K61" s="63" t="s">
        <v>77</v>
      </c>
      <c r="L61" s="63" t="s">
        <v>128</v>
      </c>
    </row>
    <row r="62" spans="1:12" ht="15.75" customHeight="1">
      <c r="A62" s="39" t="s">
        <v>150</v>
      </c>
      <c r="B62" s="68">
        <v>100</v>
      </c>
      <c r="C62" s="69">
        <v>35</v>
      </c>
      <c r="D62" s="47">
        <f t="shared" ref="D62:D65" si="14">B62%*C62</f>
        <v>35</v>
      </c>
      <c r="E62" s="47">
        <v>1</v>
      </c>
      <c r="F62" s="47">
        <f t="shared" ref="F62:F65" si="15">D62/E62</f>
        <v>35</v>
      </c>
      <c r="G62" s="70"/>
      <c r="H62" s="21">
        <v>99.7</v>
      </c>
      <c r="I62" s="21">
        <v>3.6</v>
      </c>
      <c r="J62" s="21">
        <v>2</v>
      </c>
      <c r="K62" s="21">
        <v>16.3</v>
      </c>
      <c r="L62" s="21">
        <v>0.9</v>
      </c>
    </row>
    <row r="63" spans="1:12" ht="15.75" customHeight="1">
      <c r="A63" s="39" t="s">
        <v>257</v>
      </c>
      <c r="B63" s="68">
        <v>100</v>
      </c>
      <c r="C63" s="69">
        <v>60</v>
      </c>
      <c r="D63" s="47">
        <f t="shared" si="14"/>
        <v>60</v>
      </c>
      <c r="E63" s="47">
        <v>1</v>
      </c>
      <c r="F63" s="47">
        <f t="shared" si="15"/>
        <v>60</v>
      </c>
      <c r="G63" s="21"/>
      <c r="H63" s="71">
        <v>170</v>
      </c>
      <c r="I63" s="71">
        <v>13</v>
      </c>
      <c r="J63" s="71">
        <v>11</v>
      </c>
      <c r="K63" s="71">
        <v>0</v>
      </c>
      <c r="L63" s="21">
        <v>0</v>
      </c>
    </row>
    <row r="64" spans="1:12" ht="15.75" customHeight="1">
      <c r="A64" s="39" t="s">
        <v>154</v>
      </c>
      <c r="B64" s="68">
        <v>100</v>
      </c>
      <c r="C64" s="69">
        <v>20</v>
      </c>
      <c r="D64" s="47">
        <f t="shared" si="14"/>
        <v>20</v>
      </c>
      <c r="E64" s="47">
        <v>1</v>
      </c>
      <c r="F64" s="47">
        <f t="shared" si="15"/>
        <v>20</v>
      </c>
      <c r="G64" s="21"/>
      <c r="H64" s="71">
        <v>5.2</v>
      </c>
      <c r="I64" s="71">
        <v>0.2</v>
      </c>
      <c r="J64" s="71">
        <v>0</v>
      </c>
      <c r="K64" s="71">
        <v>1</v>
      </c>
      <c r="L64" s="21">
        <v>0.7</v>
      </c>
    </row>
    <row r="65" spans="1:12" ht="15.75" customHeight="1">
      <c r="A65" s="39" t="s">
        <v>258</v>
      </c>
      <c r="B65" s="68">
        <v>100</v>
      </c>
      <c r="C65" s="69">
        <v>100</v>
      </c>
      <c r="D65" s="47">
        <f t="shared" si="14"/>
        <v>100</v>
      </c>
      <c r="E65" s="47">
        <v>1</v>
      </c>
      <c r="F65" s="47">
        <f t="shared" si="15"/>
        <v>100</v>
      </c>
      <c r="G65" s="21"/>
      <c r="H65" s="71">
        <v>40</v>
      </c>
      <c r="I65" s="71">
        <v>1</v>
      </c>
      <c r="J65" s="71">
        <v>0</v>
      </c>
      <c r="K65" s="71">
        <v>9</v>
      </c>
      <c r="L65" s="21">
        <v>3</v>
      </c>
    </row>
    <row r="66" spans="1:12" ht="15.75" customHeight="1">
      <c r="A66" s="39" t="s">
        <v>244</v>
      </c>
      <c r="B66" s="68">
        <v>79</v>
      </c>
      <c r="C66" s="69">
        <v>35</v>
      </c>
      <c r="D66" s="47">
        <f t="shared" ref="D66" si="16">B66%*C66</f>
        <v>27.650000000000002</v>
      </c>
      <c r="E66" s="47">
        <v>1</v>
      </c>
      <c r="F66" s="47">
        <f t="shared" ref="F66" si="17">D66/E66</f>
        <v>27.650000000000002</v>
      </c>
      <c r="G66" s="21"/>
      <c r="H66" s="39">
        <v>52.2</v>
      </c>
      <c r="I66" s="39">
        <v>0.6</v>
      </c>
      <c r="J66" s="39">
        <v>0.1</v>
      </c>
      <c r="K66" s="183">
        <v>13.8</v>
      </c>
      <c r="L66" s="21">
        <v>0.7</v>
      </c>
    </row>
    <row r="67" spans="1:12" ht="15.75" customHeight="1">
      <c r="A67" s="272" t="s">
        <v>129</v>
      </c>
      <c r="B67" s="239"/>
      <c r="C67" s="239"/>
      <c r="D67" s="239"/>
      <c r="E67" s="239"/>
      <c r="F67" s="239"/>
      <c r="G67" s="240"/>
      <c r="H67" s="73">
        <f>SUM(H62:H66)</f>
        <v>367.09999999999997</v>
      </c>
      <c r="I67" s="73">
        <f>SUM(I62:I66)</f>
        <v>18.400000000000002</v>
      </c>
      <c r="J67" s="73">
        <f>SUM(J62:J66)</f>
        <v>13.1</v>
      </c>
      <c r="K67" s="73">
        <f>SUM(K62:K66)</f>
        <v>40.1</v>
      </c>
      <c r="L67" s="73">
        <f>SUM(L62:L66)</f>
        <v>5.3</v>
      </c>
    </row>
    <row r="68" spans="1:12" ht="15.75" customHeight="1">
      <c r="A68" s="272" t="s">
        <v>133</v>
      </c>
      <c r="B68" s="239"/>
      <c r="C68" s="239"/>
      <c r="D68" s="239"/>
      <c r="E68" s="239"/>
      <c r="F68" s="239"/>
      <c r="G68" s="240"/>
      <c r="H68" s="74">
        <v>668</v>
      </c>
      <c r="I68" s="74">
        <v>20.3</v>
      </c>
      <c r="J68" s="74">
        <v>22.5</v>
      </c>
      <c r="K68" s="74">
        <v>97.5</v>
      </c>
      <c r="L68" s="21">
        <v>10</v>
      </c>
    </row>
    <row r="69" spans="1:12" ht="15.75" customHeight="1">
      <c r="A69" s="272" t="s">
        <v>131</v>
      </c>
      <c r="B69" s="239"/>
      <c r="C69" s="239"/>
      <c r="D69" s="239"/>
      <c r="E69" s="239"/>
      <c r="F69" s="239"/>
      <c r="G69" s="240"/>
      <c r="H69" s="75">
        <f t="shared" ref="H69:L69" si="18">(H67/H68)*100</f>
        <v>54.955089820359269</v>
      </c>
      <c r="I69" s="75">
        <f t="shared" si="18"/>
        <v>90.640394088669964</v>
      </c>
      <c r="J69" s="75">
        <f t="shared" si="18"/>
        <v>58.222222222222221</v>
      </c>
      <c r="K69" s="75">
        <f t="shared" si="18"/>
        <v>41.128205128205131</v>
      </c>
      <c r="L69" s="75">
        <f t="shared" si="18"/>
        <v>53</v>
      </c>
    </row>
    <row r="70" spans="1:12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</row>
    <row r="71" spans="1:12" ht="15.75" customHeight="1">
      <c r="A71" s="61" t="s">
        <v>134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</row>
    <row r="72" spans="1:12" ht="15.75" customHeight="1">
      <c r="A72" s="63" t="s">
        <v>118</v>
      </c>
      <c r="B72" s="64" t="s">
        <v>119</v>
      </c>
      <c r="C72" s="63" t="s">
        <v>120</v>
      </c>
      <c r="D72" s="63" t="s">
        <v>121</v>
      </c>
      <c r="E72" s="67" t="s">
        <v>122</v>
      </c>
      <c r="F72" s="67" t="s">
        <v>123</v>
      </c>
      <c r="G72" s="67" t="s">
        <v>124</v>
      </c>
      <c r="H72" s="63" t="s">
        <v>125</v>
      </c>
      <c r="I72" s="63" t="s">
        <v>126</v>
      </c>
      <c r="J72" s="63" t="s">
        <v>127</v>
      </c>
      <c r="K72" s="63" t="s">
        <v>77</v>
      </c>
      <c r="L72" s="63" t="s">
        <v>128</v>
      </c>
    </row>
    <row r="73" spans="1:12" ht="15.75" customHeight="1">
      <c r="A73" s="39"/>
      <c r="B73" s="68">
        <v>100</v>
      </c>
      <c r="C73" s="69">
        <v>100</v>
      </c>
      <c r="D73" s="47">
        <f t="shared" ref="D73:D84" si="19">B73%*C73</f>
        <v>100</v>
      </c>
      <c r="E73" s="47">
        <v>1</v>
      </c>
      <c r="F73" s="47">
        <f t="shared" ref="F73:F84" si="20">D73/E73</f>
        <v>100</v>
      </c>
      <c r="G73" s="21"/>
      <c r="H73" s="21"/>
      <c r="I73" s="21"/>
      <c r="J73" s="21"/>
      <c r="K73" s="21"/>
      <c r="L73" s="21"/>
    </row>
    <row r="74" spans="1:12" ht="15.75" customHeight="1">
      <c r="A74" s="39"/>
      <c r="B74" s="68">
        <v>100</v>
      </c>
      <c r="C74" s="69">
        <v>100</v>
      </c>
      <c r="D74" s="47">
        <f t="shared" si="19"/>
        <v>100</v>
      </c>
      <c r="E74" s="47">
        <v>1</v>
      </c>
      <c r="F74" s="47">
        <f t="shared" si="20"/>
        <v>100</v>
      </c>
      <c r="G74" s="21"/>
      <c r="H74" s="71"/>
      <c r="I74" s="71"/>
      <c r="J74" s="71"/>
      <c r="K74" s="71"/>
      <c r="L74" s="21"/>
    </row>
    <row r="75" spans="1:12" ht="15.75" customHeight="1">
      <c r="A75" s="39"/>
      <c r="B75" s="68">
        <v>100</v>
      </c>
      <c r="C75" s="69">
        <v>100</v>
      </c>
      <c r="D75" s="47">
        <f t="shared" si="19"/>
        <v>100</v>
      </c>
      <c r="E75" s="47">
        <v>1</v>
      </c>
      <c r="F75" s="47">
        <f t="shared" si="20"/>
        <v>100</v>
      </c>
      <c r="G75" s="21"/>
      <c r="H75" s="33"/>
      <c r="I75" s="33"/>
      <c r="J75" s="33"/>
      <c r="K75" s="33"/>
      <c r="L75" s="21"/>
    </row>
    <row r="76" spans="1:12" ht="15.75" customHeight="1">
      <c r="A76" s="39"/>
      <c r="B76" s="68">
        <v>100</v>
      </c>
      <c r="C76" s="69">
        <v>100</v>
      </c>
      <c r="D76" s="47">
        <f t="shared" si="19"/>
        <v>100</v>
      </c>
      <c r="E76" s="47">
        <v>1</v>
      </c>
      <c r="F76" s="47">
        <f t="shared" si="20"/>
        <v>100</v>
      </c>
      <c r="G76" s="21"/>
      <c r="H76" s="39"/>
      <c r="I76" s="39"/>
      <c r="J76" s="39"/>
      <c r="K76" s="28"/>
      <c r="L76" s="21"/>
    </row>
    <row r="77" spans="1:12" ht="15.75" customHeight="1">
      <c r="A77" s="39"/>
      <c r="B77" s="68">
        <v>100</v>
      </c>
      <c r="C77" s="69">
        <v>100</v>
      </c>
      <c r="D77" s="47">
        <f t="shared" si="19"/>
        <v>100</v>
      </c>
      <c r="E77" s="47">
        <v>1</v>
      </c>
      <c r="F77" s="47">
        <f t="shared" si="20"/>
        <v>100</v>
      </c>
      <c r="G77" s="21"/>
      <c r="H77" s="39"/>
      <c r="I77" s="39"/>
      <c r="J77" s="39"/>
      <c r="K77" s="28"/>
      <c r="L77" s="21"/>
    </row>
    <row r="78" spans="1:12" ht="15.75" customHeight="1">
      <c r="A78" s="39"/>
      <c r="B78" s="68">
        <v>100</v>
      </c>
      <c r="C78" s="69">
        <v>100</v>
      </c>
      <c r="D78" s="47">
        <f t="shared" si="19"/>
        <v>100</v>
      </c>
      <c r="E78" s="47">
        <v>1</v>
      </c>
      <c r="F78" s="47">
        <f t="shared" si="20"/>
        <v>100</v>
      </c>
      <c r="G78" s="21"/>
      <c r="H78" s="39"/>
      <c r="I78" s="39"/>
      <c r="J78" s="39"/>
      <c r="K78" s="28"/>
      <c r="L78" s="21"/>
    </row>
    <row r="79" spans="1:12" ht="15.75" customHeight="1">
      <c r="A79" s="39"/>
      <c r="B79" s="68">
        <v>100</v>
      </c>
      <c r="C79" s="69">
        <v>100</v>
      </c>
      <c r="D79" s="47">
        <f t="shared" si="19"/>
        <v>100</v>
      </c>
      <c r="E79" s="47">
        <v>1</v>
      </c>
      <c r="F79" s="47">
        <f t="shared" si="20"/>
        <v>100</v>
      </c>
      <c r="G79" s="21"/>
      <c r="H79" s="39"/>
      <c r="I79" s="39"/>
      <c r="J79" s="39"/>
      <c r="K79" s="28"/>
      <c r="L79" s="21"/>
    </row>
    <row r="80" spans="1:12" ht="15.75" customHeight="1">
      <c r="A80" s="39"/>
      <c r="B80" s="68">
        <v>100</v>
      </c>
      <c r="C80" s="69">
        <v>100</v>
      </c>
      <c r="D80" s="47">
        <f t="shared" si="19"/>
        <v>100</v>
      </c>
      <c r="E80" s="47">
        <v>1</v>
      </c>
      <c r="F80" s="47">
        <f t="shared" si="20"/>
        <v>100</v>
      </c>
      <c r="G80" s="21"/>
      <c r="H80" s="27"/>
      <c r="I80" s="27"/>
      <c r="J80" s="27"/>
      <c r="K80" s="27"/>
      <c r="L80" s="21"/>
    </row>
    <row r="81" spans="1:12" ht="15.75" customHeight="1">
      <c r="A81" s="39"/>
      <c r="B81" s="68">
        <v>100</v>
      </c>
      <c r="C81" s="69">
        <v>100</v>
      </c>
      <c r="D81" s="47">
        <f t="shared" si="19"/>
        <v>100</v>
      </c>
      <c r="E81" s="47">
        <v>1</v>
      </c>
      <c r="F81" s="47">
        <f t="shared" si="20"/>
        <v>100</v>
      </c>
      <c r="G81" s="21"/>
      <c r="H81" s="27"/>
      <c r="I81" s="27"/>
      <c r="J81" s="27"/>
      <c r="K81" s="27"/>
      <c r="L81" s="21"/>
    </row>
    <row r="82" spans="1:12" ht="15.75" customHeight="1">
      <c r="A82" s="39"/>
      <c r="B82" s="68">
        <v>100</v>
      </c>
      <c r="C82" s="69">
        <v>100</v>
      </c>
      <c r="D82" s="47">
        <f t="shared" si="19"/>
        <v>100</v>
      </c>
      <c r="E82" s="47">
        <v>1</v>
      </c>
      <c r="F82" s="47">
        <f t="shared" si="20"/>
        <v>100</v>
      </c>
      <c r="G82" s="21"/>
      <c r="H82" s="27"/>
      <c r="I82" s="27"/>
      <c r="J82" s="27"/>
      <c r="K82" s="27"/>
      <c r="L82" s="21"/>
    </row>
    <row r="83" spans="1:12" ht="15.75" customHeight="1">
      <c r="A83" s="39"/>
      <c r="B83" s="68">
        <v>100</v>
      </c>
      <c r="C83" s="69">
        <v>100</v>
      </c>
      <c r="D83" s="47">
        <f t="shared" si="19"/>
        <v>100</v>
      </c>
      <c r="E83" s="47">
        <v>1</v>
      </c>
      <c r="F83" s="47">
        <f t="shared" si="20"/>
        <v>100</v>
      </c>
      <c r="G83" s="21"/>
      <c r="H83" s="27"/>
      <c r="I83" s="27"/>
      <c r="J83" s="27"/>
      <c r="K83" s="27"/>
      <c r="L83" s="21"/>
    </row>
    <row r="84" spans="1:12" ht="15.75" customHeight="1">
      <c r="A84" s="39"/>
      <c r="B84" s="68">
        <v>100</v>
      </c>
      <c r="C84" s="69">
        <v>100</v>
      </c>
      <c r="D84" s="47">
        <f t="shared" si="19"/>
        <v>100</v>
      </c>
      <c r="E84" s="47">
        <v>1</v>
      </c>
      <c r="F84" s="47">
        <f t="shared" si="20"/>
        <v>100</v>
      </c>
      <c r="G84" s="21"/>
      <c r="H84" s="27"/>
      <c r="I84" s="27"/>
      <c r="J84" s="27"/>
      <c r="K84" s="27"/>
      <c r="L84" s="21"/>
    </row>
    <row r="85" spans="1:12" ht="15.75" customHeight="1">
      <c r="A85" s="272" t="s">
        <v>129</v>
      </c>
      <c r="B85" s="239"/>
      <c r="C85" s="239"/>
      <c r="D85" s="239"/>
      <c r="E85" s="239"/>
      <c r="F85" s="239"/>
      <c r="G85" s="240"/>
      <c r="H85" s="73">
        <f t="shared" ref="H85:L85" si="21">SUM(H73:H84)</f>
        <v>0</v>
      </c>
      <c r="I85" s="73">
        <f t="shared" si="21"/>
        <v>0</v>
      </c>
      <c r="J85" s="73">
        <f t="shared" si="21"/>
        <v>0</v>
      </c>
      <c r="K85" s="73">
        <f t="shared" si="21"/>
        <v>0</v>
      </c>
      <c r="L85" s="73">
        <f t="shared" si="21"/>
        <v>0</v>
      </c>
    </row>
    <row r="86" spans="1:12" ht="15.75" customHeight="1">
      <c r="A86" s="272" t="s">
        <v>130</v>
      </c>
      <c r="B86" s="239"/>
      <c r="C86" s="239"/>
      <c r="D86" s="239"/>
      <c r="E86" s="239"/>
      <c r="F86" s="239"/>
      <c r="G86" s="240"/>
      <c r="H86" s="74">
        <v>270</v>
      </c>
      <c r="I86" s="74">
        <v>4</v>
      </c>
      <c r="J86" s="74">
        <v>9</v>
      </c>
      <c r="K86" s="74">
        <v>43</v>
      </c>
      <c r="L86" s="21">
        <v>5</v>
      </c>
    </row>
    <row r="87" spans="1:12" ht="15.75" customHeight="1">
      <c r="A87" s="272" t="s">
        <v>131</v>
      </c>
      <c r="B87" s="239"/>
      <c r="C87" s="239"/>
      <c r="D87" s="239"/>
      <c r="E87" s="239"/>
      <c r="F87" s="239"/>
      <c r="G87" s="240"/>
      <c r="H87" s="75">
        <f t="shared" ref="H87:L87" si="22">(H85/H86)*100</f>
        <v>0</v>
      </c>
      <c r="I87" s="75">
        <f t="shared" si="22"/>
        <v>0</v>
      </c>
      <c r="J87" s="75">
        <f t="shared" si="22"/>
        <v>0</v>
      </c>
      <c r="K87" s="75">
        <f t="shared" si="22"/>
        <v>0</v>
      </c>
      <c r="L87" s="75">
        <f t="shared" si="22"/>
        <v>0</v>
      </c>
    </row>
    <row r="88" spans="1:12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</row>
    <row r="89" spans="1:12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</row>
    <row r="90" spans="1:12" ht="15.75" customHeight="1">
      <c r="A90" s="61" t="s">
        <v>135</v>
      </c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</row>
    <row r="91" spans="1:12" ht="15.75" customHeight="1">
      <c r="A91" s="63" t="s">
        <v>118</v>
      </c>
      <c r="B91" s="64" t="s">
        <v>119</v>
      </c>
      <c r="C91" s="63" t="s">
        <v>120</v>
      </c>
      <c r="D91" s="63" t="s">
        <v>121</v>
      </c>
      <c r="E91" s="67" t="s">
        <v>122</v>
      </c>
      <c r="F91" s="67" t="s">
        <v>123</v>
      </c>
      <c r="G91" s="67" t="s">
        <v>124</v>
      </c>
      <c r="H91" s="63" t="s">
        <v>125</v>
      </c>
      <c r="I91" s="63" t="s">
        <v>126</v>
      </c>
      <c r="J91" s="63" t="s">
        <v>127</v>
      </c>
      <c r="K91" s="63" t="s">
        <v>77</v>
      </c>
      <c r="L91" s="63" t="s">
        <v>128</v>
      </c>
    </row>
    <row r="92" spans="1:12" ht="15.75" customHeight="1">
      <c r="A92" s="39"/>
      <c r="B92" s="68">
        <v>100</v>
      </c>
      <c r="C92" s="69">
        <v>100</v>
      </c>
      <c r="D92" s="47">
        <f t="shared" ref="D92:D103" si="23">B92%*C92</f>
        <v>100</v>
      </c>
      <c r="E92" s="47">
        <v>1</v>
      </c>
      <c r="F92" s="47">
        <f t="shared" ref="F92:F103" si="24">D92/E92</f>
        <v>100</v>
      </c>
      <c r="G92" s="21"/>
      <c r="H92" s="21"/>
      <c r="I92" s="21"/>
      <c r="J92" s="21"/>
      <c r="K92" s="21"/>
      <c r="L92" s="21"/>
    </row>
    <row r="93" spans="1:12" ht="15.75" customHeight="1">
      <c r="A93" s="39"/>
      <c r="B93" s="68">
        <v>100</v>
      </c>
      <c r="C93" s="69">
        <v>100</v>
      </c>
      <c r="D93" s="47">
        <f t="shared" si="23"/>
        <v>100</v>
      </c>
      <c r="E93" s="47">
        <v>1</v>
      </c>
      <c r="F93" s="47">
        <f t="shared" si="24"/>
        <v>100</v>
      </c>
      <c r="G93" s="21"/>
      <c r="H93" s="71"/>
      <c r="I93" s="71"/>
      <c r="J93" s="71"/>
      <c r="K93" s="71"/>
      <c r="L93" s="21"/>
    </row>
    <row r="94" spans="1:12" ht="15.75" customHeight="1">
      <c r="A94" s="39"/>
      <c r="B94" s="68">
        <v>100</v>
      </c>
      <c r="C94" s="69">
        <v>100</v>
      </c>
      <c r="D94" s="47">
        <f t="shared" si="23"/>
        <v>100</v>
      </c>
      <c r="E94" s="47">
        <v>1</v>
      </c>
      <c r="F94" s="47">
        <f t="shared" si="24"/>
        <v>100</v>
      </c>
      <c r="G94" s="21"/>
      <c r="H94" s="33"/>
      <c r="I94" s="33"/>
      <c r="J94" s="33"/>
      <c r="K94" s="33"/>
      <c r="L94" s="21"/>
    </row>
    <row r="95" spans="1:12" ht="15.75" customHeight="1">
      <c r="A95" s="39"/>
      <c r="B95" s="68">
        <v>100</v>
      </c>
      <c r="C95" s="69">
        <v>100</v>
      </c>
      <c r="D95" s="47">
        <f t="shared" si="23"/>
        <v>100</v>
      </c>
      <c r="E95" s="47">
        <v>1</v>
      </c>
      <c r="F95" s="47">
        <f t="shared" si="24"/>
        <v>100</v>
      </c>
      <c r="G95" s="21"/>
      <c r="H95" s="39"/>
      <c r="I95" s="39"/>
      <c r="J95" s="39"/>
      <c r="K95" s="28"/>
      <c r="L95" s="21"/>
    </row>
    <row r="96" spans="1:12" ht="15.75" customHeight="1">
      <c r="A96" s="39"/>
      <c r="B96" s="68">
        <v>100</v>
      </c>
      <c r="C96" s="69">
        <v>100</v>
      </c>
      <c r="D96" s="47">
        <f t="shared" si="23"/>
        <v>100</v>
      </c>
      <c r="E96" s="47">
        <v>1</v>
      </c>
      <c r="F96" s="47">
        <f t="shared" si="24"/>
        <v>100</v>
      </c>
      <c r="G96" s="21"/>
      <c r="H96" s="39"/>
      <c r="I96" s="39"/>
      <c r="J96" s="39"/>
      <c r="K96" s="28"/>
      <c r="L96" s="21"/>
    </row>
    <row r="97" spans="1:12" ht="15.75" customHeight="1">
      <c r="A97" s="39"/>
      <c r="B97" s="68">
        <v>100</v>
      </c>
      <c r="C97" s="69">
        <v>100</v>
      </c>
      <c r="D97" s="47">
        <f t="shared" si="23"/>
        <v>100</v>
      </c>
      <c r="E97" s="47">
        <v>1</v>
      </c>
      <c r="F97" s="47">
        <f t="shared" si="24"/>
        <v>100</v>
      </c>
      <c r="G97" s="21"/>
      <c r="H97" s="39"/>
      <c r="I97" s="39"/>
      <c r="J97" s="39"/>
      <c r="K97" s="28"/>
      <c r="L97" s="21"/>
    </row>
    <row r="98" spans="1:12" ht="15.75" customHeight="1">
      <c r="A98" s="39"/>
      <c r="B98" s="68">
        <v>100</v>
      </c>
      <c r="C98" s="69">
        <v>100</v>
      </c>
      <c r="D98" s="47">
        <f t="shared" si="23"/>
        <v>100</v>
      </c>
      <c r="E98" s="47">
        <v>1</v>
      </c>
      <c r="F98" s="47">
        <f t="shared" si="24"/>
        <v>100</v>
      </c>
      <c r="G98" s="21"/>
      <c r="H98" s="39"/>
      <c r="I98" s="39"/>
      <c r="J98" s="39"/>
      <c r="K98" s="28"/>
      <c r="L98" s="21"/>
    </row>
    <row r="99" spans="1:12" ht="15.75" customHeight="1">
      <c r="A99" s="39"/>
      <c r="B99" s="68">
        <v>100</v>
      </c>
      <c r="C99" s="69">
        <v>100</v>
      </c>
      <c r="D99" s="47">
        <f t="shared" si="23"/>
        <v>100</v>
      </c>
      <c r="E99" s="47">
        <v>1</v>
      </c>
      <c r="F99" s="47">
        <f t="shared" si="24"/>
        <v>100</v>
      </c>
      <c r="G99" s="21"/>
      <c r="H99" s="27"/>
      <c r="I99" s="27"/>
      <c r="J99" s="27"/>
      <c r="K99" s="27"/>
      <c r="L99" s="21"/>
    </row>
    <row r="100" spans="1:12" ht="15.75" customHeight="1">
      <c r="A100" s="39"/>
      <c r="B100" s="68">
        <v>100</v>
      </c>
      <c r="C100" s="69">
        <v>100</v>
      </c>
      <c r="D100" s="47">
        <f t="shared" si="23"/>
        <v>100</v>
      </c>
      <c r="E100" s="47">
        <v>1</v>
      </c>
      <c r="F100" s="47">
        <f t="shared" si="24"/>
        <v>100</v>
      </c>
      <c r="G100" s="21"/>
      <c r="H100" s="27"/>
      <c r="I100" s="27"/>
      <c r="J100" s="27"/>
      <c r="K100" s="27"/>
      <c r="L100" s="21"/>
    </row>
    <row r="101" spans="1:12" ht="15.75" customHeight="1">
      <c r="A101" s="39"/>
      <c r="B101" s="68">
        <v>100</v>
      </c>
      <c r="C101" s="69">
        <v>100</v>
      </c>
      <c r="D101" s="47">
        <f t="shared" si="23"/>
        <v>100</v>
      </c>
      <c r="E101" s="47">
        <v>1</v>
      </c>
      <c r="F101" s="47">
        <f t="shared" si="24"/>
        <v>100</v>
      </c>
      <c r="G101" s="21"/>
      <c r="H101" s="27"/>
      <c r="I101" s="27"/>
      <c r="J101" s="27"/>
      <c r="K101" s="27"/>
      <c r="L101" s="21"/>
    </row>
    <row r="102" spans="1:12" ht="15.75" customHeight="1">
      <c r="A102" s="39"/>
      <c r="B102" s="68">
        <v>100</v>
      </c>
      <c r="C102" s="69">
        <v>100</v>
      </c>
      <c r="D102" s="47">
        <f t="shared" si="23"/>
        <v>100</v>
      </c>
      <c r="E102" s="47">
        <v>1</v>
      </c>
      <c r="F102" s="47">
        <f t="shared" si="24"/>
        <v>100</v>
      </c>
      <c r="G102" s="21"/>
      <c r="H102" s="27"/>
      <c r="I102" s="27"/>
      <c r="J102" s="27"/>
      <c r="K102" s="27"/>
      <c r="L102" s="21"/>
    </row>
    <row r="103" spans="1:12" ht="15.75" customHeight="1">
      <c r="A103" s="39"/>
      <c r="B103" s="68">
        <v>100</v>
      </c>
      <c r="C103" s="69">
        <v>100</v>
      </c>
      <c r="D103" s="47">
        <f t="shared" si="23"/>
        <v>100</v>
      </c>
      <c r="E103" s="47">
        <v>1</v>
      </c>
      <c r="F103" s="47">
        <f t="shared" si="24"/>
        <v>100</v>
      </c>
      <c r="G103" s="21"/>
      <c r="H103" s="27"/>
      <c r="I103" s="27"/>
      <c r="J103" s="27"/>
      <c r="K103" s="27"/>
      <c r="L103" s="21"/>
    </row>
    <row r="104" spans="1:12" ht="15.75" customHeight="1">
      <c r="A104" s="72" t="s">
        <v>129</v>
      </c>
      <c r="B104" s="88"/>
      <c r="C104" s="88"/>
      <c r="D104" s="88"/>
      <c r="E104" s="88"/>
      <c r="F104" s="88"/>
      <c r="G104" s="89"/>
      <c r="H104" s="73">
        <f t="shared" ref="H104:L104" si="25">SUM(H92:H103)</f>
        <v>0</v>
      </c>
      <c r="I104" s="73">
        <f t="shared" si="25"/>
        <v>0</v>
      </c>
      <c r="J104" s="73">
        <f t="shared" si="25"/>
        <v>0</v>
      </c>
      <c r="K104" s="73">
        <f t="shared" si="25"/>
        <v>0</v>
      </c>
      <c r="L104" s="73">
        <f t="shared" si="25"/>
        <v>0</v>
      </c>
    </row>
    <row r="105" spans="1:12" ht="15.75" customHeight="1">
      <c r="A105" s="72" t="s">
        <v>133</v>
      </c>
      <c r="B105" s="88"/>
      <c r="C105" s="88"/>
      <c r="D105" s="88"/>
      <c r="E105" s="88"/>
      <c r="F105" s="88"/>
      <c r="G105" s="89"/>
      <c r="H105" s="74">
        <v>753</v>
      </c>
      <c r="I105" s="74">
        <v>22.1</v>
      </c>
      <c r="J105" s="74">
        <v>20.2</v>
      </c>
      <c r="K105" s="74">
        <v>118.5</v>
      </c>
      <c r="L105" s="21">
        <v>10</v>
      </c>
    </row>
    <row r="106" spans="1:12" ht="15.75" customHeight="1">
      <c r="A106" s="72" t="s">
        <v>131</v>
      </c>
      <c r="B106" s="88"/>
      <c r="C106" s="88"/>
      <c r="D106" s="88"/>
      <c r="E106" s="88"/>
      <c r="F106" s="88"/>
      <c r="G106" s="89"/>
      <c r="H106" s="75">
        <f t="shared" ref="H106:L106" si="26">(H104/H105)*100</f>
        <v>0</v>
      </c>
      <c r="I106" s="75">
        <f t="shared" si="26"/>
        <v>0</v>
      </c>
      <c r="J106" s="75">
        <f t="shared" si="26"/>
        <v>0</v>
      </c>
      <c r="K106" s="75">
        <f t="shared" si="26"/>
        <v>0</v>
      </c>
      <c r="L106" s="75">
        <f t="shared" si="26"/>
        <v>0</v>
      </c>
    </row>
    <row r="107" spans="1:12" ht="15.75" customHeight="1"/>
    <row r="108" spans="1:12" ht="15.75" customHeight="1"/>
    <row r="109" spans="1:12" ht="15.75" customHeight="1"/>
    <row r="110" spans="1:12" ht="15.75" customHeight="1"/>
    <row r="111" spans="1:12" ht="15.75" customHeight="1"/>
    <row r="112" spans="1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6">
    <mergeCell ref="A69:G69"/>
    <mergeCell ref="A85:G85"/>
    <mergeCell ref="A86:G86"/>
    <mergeCell ref="A87:G87"/>
    <mergeCell ref="A55:G55"/>
    <mergeCell ref="A56:G56"/>
    <mergeCell ref="A14:B14"/>
    <mergeCell ref="L4:M4"/>
    <mergeCell ref="A57:G57"/>
    <mergeCell ref="A67:G67"/>
    <mergeCell ref="A68:G68"/>
    <mergeCell ref="A1:B2"/>
    <mergeCell ref="C1:D2"/>
    <mergeCell ref="E1:J2"/>
    <mergeCell ref="A3:B3"/>
    <mergeCell ref="C3:J13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65"/>
  <sheetViews>
    <sheetView topLeftCell="A19" zoomScale="60" workbookViewId="0">
      <selection activeCell="A30" sqref="A30:L48"/>
    </sheetView>
  </sheetViews>
  <sheetFormatPr defaultColWidth="14.42578125" defaultRowHeight="15" customHeight="1"/>
  <cols>
    <col min="1" max="1" width="19.42578125" customWidth="1"/>
    <col min="2" max="2" width="21.140625" customWidth="1"/>
    <col min="3" max="6" width="12.5703125" customWidth="1"/>
    <col min="7" max="7" width="14.7109375" customWidth="1"/>
    <col min="8" max="9" width="12.5703125" customWidth="1"/>
    <col min="10" max="10" width="16.5703125" customWidth="1"/>
    <col min="11" max="11" width="12.5703125" customWidth="1"/>
    <col min="12" max="12" width="17.42578125" customWidth="1"/>
    <col min="13" max="13" width="10.140625" customWidth="1"/>
  </cols>
  <sheetData>
    <row r="1" spans="1:13" ht="15.75" customHeight="1">
      <c r="A1" s="255"/>
      <c r="B1" s="256"/>
      <c r="C1" s="258"/>
      <c r="D1" s="256"/>
      <c r="E1" s="261"/>
      <c r="F1" s="262"/>
      <c r="G1" s="262"/>
      <c r="H1" s="262"/>
      <c r="I1" s="262"/>
      <c r="J1" s="263"/>
    </row>
    <row r="2" spans="1:13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</row>
    <row r="3" spans="1:13" ht="16.5" customHeight="1">
      <c r="A3" s="266" t="s">
        <v>0</v>
      </c>
      <c r="B3" s="279"/>
      <c r="C3" s="280"/>
      <c r="D3" s="262"/>
      <c r="E3" s="262"/>
      <c r="F3" s="262"/>
      <c r="G3" s="262"/>
      <c r="H3" s="262"/>
      <c r="I3" s="262"/>
      <c r="J3" s="263"/>
    </row>
    <row r="4" spans="1:13" ht="15.75">
      <c r="A4" s="78" t="s">
        <v>5</v>
      </c>
      <c r="B4" s="95" t="s">
        <v>6</v>
      </c>
      <c r="C4" s="281"/>
      <c r="D4" s="270"/>
      <c r="E4" s="270"/>
      <c r="F4" s="270"/>
      <c r="G4" s="270"/>
      <c r="H4" s="270"/>
      <c r="I4" s="270"/>
      <c r="J4" s="282"/>
    </row>
    <row r="5" spans="1:13" ht="15.75">
      <c r="A5" s="2" t="s">
        <v>22</v>
      </c>
      <c r="B5" s="2" t="s">
        <v>22</v>
      </c>
      <c r="C5" s="281"/>
      <c r="D5" s="270"/>
      <c r="E5" s="270"/>
      <c r="F5" s="270"/>
      <c r="G5" s="270"/>
      <c r="H5" s="270"/>
      <c r="I5" s="270"/>
      <c r="J5" s="282"/>
      <c r="L5" s="241" t="s">
        <v>63</v>
      </c>
      <c r="M5" s="240"/>
    </row>
    <row r="6" spans="1:13" ht="15.75">
      <c r="A6" s="2" t="s">
        <v>219</v>
      </c>
      <c r="B6" s="2" t="s">
        <v>219</v>
      </c>
      <c r="C6" s="281"/>
      <c r="D6" s="270"/>
      <c r="E6" s="270"/>
      <c r="F6" s="270"/>
      <c r="G6" s="270"/>
      <c r="H6" s="270"/>
      <c r="I6" s="270"/>
      <c r="J6" s="282"/>
      <c r="L6" s="9" t="s">
        <v>64</v>
      </c>
      <c r="M6" s="9">
        <v>1043</v>
      </c>
    </row>
    <row r="7" spans="1:13" ht="15.75">
      <c r="A7" s="2" t="s">
        <v>223</v>
      </c>
      <c r="B7" s="2" t="s">
        <v>223</v>
      </c>
      <c r="C7" s="281"/>
      <c r="D7" s="270"/>
      <c r="E7" s="270"/>
      <c r="F7" s="270"/>
      <c r="G7" s="270"/>
      <c r="H7" s="270"/>
      <c r="I7" s="270"/>
      <c r="J7" s="282"/>
      <c r="L7" s="9" t="s">
        <v>67</v>
      </c>
      <c r="M7" s="9">
        <f>1070+253+1</f>
        <v>1324</v>
      </c>
    </row>
    <row r="8" spans="1:13" ht="15.75">
      <c r="A8" s="2"/>
      <c r="B8" s="2" t="s">
        <v>224</v>
      </c>
      <c r="C8" s="281"/>
      <c r="D8" s="270"/>
      <c r="E8" s="270"/>
      <c r="F8" s="270"/>
      <c r="G8" s="270"/>
      <c r="H8" s="270"/>
      <c r="I8" s="270"/>
      <c r="J8" s="282"/>
      <c r="L8" s="9" t="s">
        <v>65</v>
      </c>
      <c r="M8" s="9">
        <v>204</v>
      </c>
    </row>
    <row r="9" spans="1:13" ht="15.75">
      <c r="A9" s="2"/>
      <c r="C9" s="281"/>
      <c r="D9" s="270"/>
      <c r="E9" s="270"/>
      <c r="F9" s="270"/>
      <c r="G9" s="270"/>
      <c r="H9" s="270"/>
      <c r="I9" s="270"/>
      <c r="J9" s="282"/>
      <c r="L9" s="9" t="s">
        <v>66</v>
      </c>
      <c r="M9" s="9">
        <f>297+16+1</f>
        <v>314</v>
      </c>
    </row>
    <row r="10" spans="1:13" ht="15.75">
      <c r="A10" s="15"/>
      <c r="B10" s="15"/>
      <c r="C10" s="281"/>
      <c r="D10" s="270"/>
      <c r="E10" s="270"/>
      <c r="F10" s="270"/>
      <c r="G10" s="270"/>
      <c r="H10" s="270"/>
      <c r="I10" s="270"/>
      <c r="J10" s="282"/>
      <c r="L10" s="9" t="s">
        <v>70</v>
      </c>
      <c r="M10" s="9">
        <f>M9+M8</f>
        <v>518</v>
      </c>
    </row>
    <row r="11" spans="1:13" ht="15.75">
      <c r="A11" s="15"/>
      <c r="B11" s="15"/>
      <c r="C11" s="281"/>
      <c r="D11" s="270"/>
      <c r="E11" s="270"/>
      <c r="F11" s="270"/>
      <c r="G11" s="270"/>
      <c r="H11" s="270"/>
      <c r="I11" s="270"/>
      <c r="J11" s="282"/>
      <c r="L11" s="9" t="s">
        <v>71</v>
      </c>
      <c r="M11" s="9">
        <f>M8+M6</f>
        <v>1247</v>
      </c>
    </row>
    <row r="12" spans="1:13" ht="15.75">
      <c r="A12" s="15"/>
      <c r="B12" s="15"/>
      <c r="C12" s="281"/>
      <c r="D12" s="270"/>
      <c r="E12" s="270"/>
      <c r="F12" s="270"/>
      <c r="G12" s="270"/>
      <c r="H12" s="270"/>
      <c r="I12" s="270"/>
      <c r="J12" s="282"/>
      <c r="L12" s="9" t="s">
        <v>72</v>
      </c>
      <c r="M12" s="9">
        <f>M7+M9</f>
        <v>1638</v>
      </c>
    </row>
    <row r="13" spans="1:13" ht="15.75">
      <c r="A13" s="15"/>
      <c r="B13" s="15"/>
      <c r="C13" s="281"/>
      <c r="D13" s="270"/>
      <c r="E13" s="270"/>
      <c r="F13" s="270"/>
      <c r="G13" s="270"/>
      <c r="H13" s="270"/>
      <c r="I13" s="270"/>
      <c r="J13" s="282"/>
      <c r="L13" s="11" t="s">
        <v>73</v>
      </c>
      <c r="M13" s="11">
        <f>SUM(M6:M9)</f>
        <v>2885</v>
      </c>
    </row>
    <row r="14" spans="1:13" ht="15.75">
      <c r="A14" s="15"/>
      <c r="B14" s="15"/>
      <c r="C14" s="283"/>
      <c r="D14" s="264"/>
      <c r="E14" s="264"/>
      <c r="F14" s="264"/>
      <c r="G14" s="264"/>
      <c r="H14" s="264"/>
      <c r="I14" s="264"/>
      <c r="J14" s="265"/>
    </row>
    <row r="15" spans="1:13" ht="15.75">
      <c r="A15" s="276" t="s">
        <v>77</v>
      </c>
      <c r="B15" s="277"/>
      <c r="C15" s="17" t="s">
        <v>78</v>
      </c>
      <c r="D15" s="18" t="s">
        <v>79</v>
      </c>
      <c r="E15" s="17" t="s">
        <v>80</v>
      </c>
      <c r="F15" s="17" t="s">
        <v>81</v>
      </c>
      <c r="G15" s="19" t="s">
        <v>82</v>
      </c>
      <c r="H15" s="17" t="s">
        <v>83</v>
      </c>
      <c r="I15" s="17" t="s">
        <v>84</v>
      </c>
      <c r="J15" s="17" t="s">
        <v>85</v>
      </c>
    </row>
    <row r="16" spans="1:13" ht="15.75" customHeight="1">
      <c r="A16" s="29" t="s">
        <v>87</v>
      </c>
      <c r="B16" s="30"/>
      <c r="C16" s="30"/>
      <c r="D16" s="30"/>
      <c r="E16" s="30"/>
      <c r="F16" s="30"/>
      <c r="G16" s="30"/>
      <c r="H16" s="116"/>
      <c r="I16" s="114"/>
      <c r="J16" s="112">
        <f t="shared" ref="J16:J23" si="0">G16*I16</f>
        <v>0</v>
      </c>
    </row>
    <row r="17" spans="1:12" ht="15.75" customHeight="1">
      <c r="A17" s="21"/>
      <c r="B17" s="22" t="s">
        <v>167</v>
      </c>
      <c r="C17" s="33">
        <f>1000/15</f>
        <v>66.666666666666671</v>
      </c>
      <c r="D17" s="24">
        <v>2367</v>
      </c>
      <c r="E17" s="25">
        <f t="shared" ref="E17:E18" si="1">C17*D17</f>
        <v>157800</v>
      </c>
      <c r="F17" s="25">
        <f t="shared" ref="F17:F18" si="2">(E17+(E17*4%))</f>
        <v>164112</v>
      </c>
      <c r="G17" s="33">
        <f>+F17/1000</f>
        <v>164.11199999999999</v>
      </c>
      <c r="H17" s="28" t="s">
        <v>86</v>
      </c>
      <c r="I17" s="111">
        <v>32000</v>
      </c>
      <c r="J17" s="112">
        <f t="shared" si="0"/>
        <v>5251584</v>
      </c>
    </row>
    <row r="18" spans="1:12" ht="15.75" customHeight="1">
      <c r="A18" s="21"/>
      <c r="B18" s="22" t="s">
        <v>168</v>
      </c>
      <c r="C18" s="33">
        <v>1</v>
      </c>
      <c r="D18" s="24">
        <v>2367</v>
      </c>
      <c r="E18" s="25">
        <f t="shared" si="1"/>
        <v>2367</v>
      </c>
      <c r="F18" s="25">
        <f t="shared" si="2"/>
        <v>2461.6799999999998</v>
      </c>
      <c r="G18" s="33">
        <f>+F18</f>
        <v>2461.6799999999998</v>
      </c>
      <c r="H18" s="28" t="s">
        <v>94</v>
      </c>
      <c r="I18" s="111">
        <v>3500</v>
      </c>
      <c r="J18" s="112">
        <f t="shared" si="0"/>
        <v>8615880</v>
      </c>
    </row>
    <row r="19" spans="1:12" ht="15.75" customHeight="1">
      <c r="A19" s="36" t="s">
        <v>92</v>
      </c>
      <c r="B19" s="37"/>
      <c r="C19" s="37"/>
      <c r="D19" s="37"/>
      <c r="E19" s="37"/>
      <c r="F19" s="37"/>
      <c r="G19" s="37"/>
      <c r="H19" s="117"/>
      <c r="I19" s="114"/>
      <c r="J19" s="112">
        <f t="shared" si="0"/>
        <v>0</v>
      </c>
    </row>
    <row r="20" spans="1:12" ht="15.75" customHeight="1">
      <c r="A20" s="41" t="s">
        <v>96</v>
      </c>
      <c r="B20" s="42"/>
      <c r="C20" s="42"/>
      <c r="D20" s="42"/>
      <c r="E20" s="42"/>
      <c r="F20" s="42"/>
      <c r="G20" s="42"/>
      <c r="H20" s="107"/>
      <c r="I20" s="114"/>
      <c r="J20" s="112">
        <f t="shared" si="0"/>
        <v>0</v>
      </c>
    </row>
    <row r="21" spans="1:12" ht="15.75" customHeight="1">
      <c r="A21" s="44" t="s">
        <v>97</v>
      </c>
      <c r="B21" s="80"/>
      <c r="C21" s="45"/>
      <c r="D21" s="45"/>
      <c r="E21" s="45"/>
      <c r="F21" s="45"/>
      <c r="G21" s="45"/>
      <c r="H21" s="108"/>
      <c r="I21" s="114"/>
      <c r="J21" s="112">
        <f t="shared" si="0"/>
        <v>0</v>
      </c>
    </row>
    <row r="22" spans="1:12" ht="15.75" customHeight="1">
      <c r="A22" s="81"/>
      <c r="B22" s="93" t="s">
        <v>223</v>
      </c>
      <c r="C22" s="96">
        <v>1</v>
      </c>
      <c r="D22" s="24">
        <v>2367</v>
      </c>
      <c r="E22" s="25">
        <f t="shared" ref="E22:E23" si="3">C22*D22</f>
        <v>2367</v>
      </c>
      <c r="F22" s="25">
        <f t="shared" ref="F22:F23" si="4">(E22+(E22*3%))</f>
        <v>2438.0100000000002</v>
      </c>
      <c r="G22" s="33">
        <f>+F22</f>
        <v>2438.0100000000002</v>
      </c>
      <c r="H22" s="28" t="s">
        <v>94</v>
      </c>
      <c r="I22" s="111">
        <v>2300</v>
      </c>
      <c r="J22" s="112">
        <f t="shared" si="0"/>
        <v>5607423.0000000009</v>
      </c>
    </row>
    <row r="23" spans="1:12" ht="15.75" customHeight="1">
      <c r="A23" s="81"/>
      <c r="B23" s="93" t="s">
        <v>169</v>
      </c>
      <c r="C23" s="96">
        <v>35</v>
      </c>
      <c r="D23" s="47">
        <v>1324</v>
      </c>
      <c r="E23" s="25">
        <f t="shared" si="3"/>
        <v>46340</v>
      </c>
      <c r="F23" s="25">
        <f t="shared" si="4"/>
        <v>47730.2</v>
      </c>
      <c r="G23" s="33">
        <f>+F23/1000</f>
        <v>47.730199999999996</v>
      </c>
      <c r="H23" s="28" t="s">
        <v>86</v>
      </c>
      <c r="I23" s="111">
        <v>40000</v>
      </c>
      <c r="J23" s="112">
        <f t="shared" si="0"/>
        <v>1909207.9999999998</v>
      </c>
    </row>
    <row r="24" spans="1:12" ht="15.75" customHeight="1">
      <c r="A24" s="48" t="s">
        <v>99</v>
      </c>
      <c r="B24" s="83"/>
      <c r="C24" s="49"/>
      <c r="D24" s="49"/>
      <c r="E24" s="49"/>
      <c r="F24" s="49"/>
      <c r="G24" s="49"/>
      <c r="H24" s="109"/>
      <c r="I24" s="114"/>
      <c r="J24" s="115"/>
    </row>
    <row r="25" spans="1:12" ht="15.75" customHeight="1">
      <c r="A25" s="26"/>
      <c r="B25" s="51" t="s">
        <v>145</v>
      </c>
      <c r="C25" s="52">
        <v>1</v>
      </c>
      <c r="D25" s="39">
        <v>2367</v>
      </c>
      <c r="E25" s="53">
        <f t="shared" ref="E25:E27" si="5">C25*D25</f>
        <v>2367</v>
      </c>
      <c r="F25" s="53">
        <f t="shared" ref="F25:F27" si="6">(E25+(E25*3%))</f>
        <v>2438.0100000000002</v>
      </c>
      <c r="G25" s="54">
        <f t="shared" ref="G25:G27" si="7">F25</f>
        <v>2438.0100000000002</v>
      </c>
      <c r="H25" s="56" t="s">
        <v>94</v>
      </c>
      <c r="I25" s="111"/>
      <c r="J25" s="119">
        <f>SUM(J16:J24)</f>
        <v>21384095</v>
      </c>
    </row>
    <row r="26" spans="1:12" ht="15.75" customHeight="1">
      <c r="A26" s="26"/>
      <c r="B26" s="51" t="s">
        <v>147</v>
      </c>
      <c r="C26" s="52">
        <v>1</v>
      </c>
      <c r="D26" s="39">
        <v>1324</v>
      </c>
      <c r="E26" s="53">
        <f t="shared" si="5"/>
        <v>1324</v>
      </c>
      <c r="F26" s="53">
        <f t="shared" si="6"/>
        <v>1363.72</v>
      </c>
      <c r="G26" s="54">
        <f t="shared" si="7"/>
        <v>1363.72</v>
      </c>
      <c r="H26" s="56" t="s">
        <v>95</v>
      </c>
      <c r="I26" s="26"/>
      <c r="J26" s="87"/>
    </row>
    <row r="27" spans="1:12" ht="15.75" customHeight="1">
      <c r="A27" s="26"/>
      <c r="B27" s="51" t="s">
        <v>171</v>
      </c>
      <c r="C27" s="52">
        <v>1</v>
      </c>
      <c r="D27" s="39">
        <v>2367</v>
      </c>
      <c r="E27" s="53">
        <f t="shared" si="5"/>
        <v>2367</v>
      </c>
      <c r="F27" s="53">
        <f t="shared" si="6"/>
        <v>2438.0100000000002</v>
      </c>
      <c r="G27" s="54">
        <f t="shared" si="7"/>
        <v>2438.0100000000002</v>
      </c>
      <c r="H27" s="56" t="s">
        <v>94</v>
      </c>
      <c r="I27" s="26"/>
      <c r="J27" s="87"/>
    </row>
    <row r="28" spans="1:12" ht="15.75" customHeight="1">
      <c r="A28" s="57"/>
      <c r="B28" s="57"/>
      <c r="C28" s="57"/>
      <c r="D28" s="57"/>
      <c r="E28" s="57"/>
      <c r="F28" s="57"/>
      <c r="G28" s="57"/>
      <c r="H28" s="60"/>
      <c r="I28" s="57"/>
    </row>
    <row r="29" spans="1:12" ht="15.75" customHeight="1">
      <c r="A29" s="57"/>
      <c r="B29" s="57"/>
      <c r="C29" s="57"/>
      <c r="D29" s="57"/>
      <c r="E29" s="57"/>
      <c r="F29" s="57"/>
      <c r="G29" s="57"/>
      <c r="H29" s="60"/>
      <c r="I29" s="57"/>
    </row>
    <row r="30" spans="1:12" ht="15.75" customHeight="1">
      <c r="A30" s="284" t="s">
        <v>117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6"/>
    </row>
    <row r="31" spans="1:12" ht="15.75" customHeight="1">
      <c r="A31" s="63" t="s">
        <v>118</v>
      </c>
      <c r="B31" s="64" t="s">
        <v>119</v>
      </c>
      <c r="C31" s="63" t="s">
        <v>120</v>
      </c>
      <c r="D31" s="65" t="s">
        <v>121</v>
      </c>
      <c r="E31" s="66" t="s">
        <v>122</v>
      </c>
      <c r="F31" s="66" t="s">
        <v>123</v>
      </c>
      <c r="G31" s="67" t="s">
        <v>124</v>
      </c>
      <c r="H31" s="63" t="s">
        <v>125</v>
      </c>
      <c r="I31" s="63" t="s">
        <v>126</v>
      </c>
      <c r="J31" s="63" t="s">
        <v>127</v>
      </c>
      <c r="K31" s="63" t="s">
        <v>77</v>
      </c>
      <c r="L31" s="63" t="s">
        <v>128</v>
      </c>
    </row>
    <row r="32" spans="1:12" ht="15.75" customHeight="1">
      <c r="A32" s="186" t="s">
        <v>259</v>
      </c>
      <c r="B32" s="40">
        <v>87</v>
      </c>
      <c r="C32" s="187">
        <v>66.7</v>
      </c>
      <c r="D32" s="175">
        <f t="shared" ref="D32" si="8">B32*C32%</f>
        <v>58.029000000000003</v>
      </c>
      <c r="E32" s="175">
        <v>1</v>
      </c>
      <c r="F32" s="188">
        <f t="shared" ref="F32" si="9">D32/E32</f>
        <v>58.029000000000003</v>
      </c>
      <c r="G32" s="172" t="s">
        <v>260</v>
      </c>
      <c r="H32" s="189">
        <v>90</v>
      </c>
      <c r="I32" s="189">
        <v>7.3</v>
      </c>
      <c r="J32" s="189">
        <v>6.2</v>
      </c>
      <c r="K32" s="189">
        <v>0.6</v>
      </c>
      <c r="L32" s="172">
        <v>0</v>
      </c>
    </row>
    <row r="33" spans="1:12" ht="20.25" customHeight="1">
      <c r="A33" s="2" t="s">
        <v>245</v>
      </c>
      <c r="B33" s="40">
        <v>100</v>
      </c>
      <c r="C33" s="169">
        <v>115</v>
      </c>
      <c r="D33" s="39">
        <f>B33%*C33</f>
        <v>115</v>
      </c>
      <c r="E33" s="39">
        <v>1</v>
      </c>
      <c r="F33" s="170">
        <f>D33/E33</f>
        <v>115</v>
      </c>
      <c r="G33" s="40" t="s">
        <v>233</v>
      </c>
      <c r="H33" s="171">
        <v>70</v>
      </c>
      <c r="I33" s="171">
        <v>3</v>
      </c>
      <c r="J33" s="171">
        <v>3.5</v>
      </c>
      <c r="K33" s="171">
        <v>6</v>
      </c>
      <c r="L33" s="172">
        <v>0</v>
      </c>
    </row>
    <row r="34" spans="1:12" ht="20.25" customHeight="1">
      <c r="A34" s="2" t="s">
        <v>36</v>
      </c>
      <c r="B34" s="68">
        <v>72</v>
      </c>
      <c r="C34" s="69">
        <v>116</v>
      </c>
      <c r="D34" s="47">
        <f t="shared" ref="D34" si="10">B34%*C34</f>
        <v>83.52</v>
      </c>
      <c r="E34" s="47">
        <v>1</v>
      </c>
      <c r="F34" s="47">
        <f t="shared" ref="F34" si="11">D34/E34</f>
        <v>83.52</v>
      </c>
      <c r="G34" s="21" t="s">
        <v>251</v>
      </c>
      <c r="H34" s="39">
        <v>39.299999999999997</v>
      </c>
      <c r="I34" s="39">
        <v>0.8</v>
      </c>
      <c r="J34" s="39">
        <v>0.1</v>
      </c>
      <c r="K34" s="184">
        <v>9.9</v>
      </c>
      <c r="L34" s="21">
        <v>2</v>
      </c>
    </row>
    <row r="35" spans="1:12" ht="15.75" customHeight="1">
      <c r="A35" s="272" t="s">
        <v>129</v>
      </c>
      <c r="B35" s="239"/>
      <c r="C35" s="239"/>
      <c r="D35" s="239"/>
      <c r="E35" s="239"/>
      <c r="F35" s="239"/>
      <c r="G35" s="240"/>
      <c r="H35" s="73">
        <f>SUM(H32:H34)</f>
        <v>199.3</v>
      </c>
      <c r="I35" s="73">
        <f>SUM(I32:I34)</f>
        <v>11.100000000000001</v>
      </c>
      <c r="J35" s="73">
        <f>SUM(J32:J34)</f>
        <v>9.7999999999999989</v>
      </c>
      <c r="K35" s="73">
        <f>SUM(K32:K34)</f>
        <v>16.5</v>
      </c>
      <c r="L35" s="73">
        <f>SUM(L32:L34)</f>
        <v>2</v>
      </c>
    </row>
    <row r="36" spans="1:12" ht="15.75" customHeight="1">
      <c r="A36" s="272" t="s">
        <v>130</v>
      </c>
      <c r="B36" s="239"/>
      <c r="C36" s="239"/>
      <c r="D36" s="239"/>
      <c r="E36" s="239"/>
      <c r="F36" s="239"/>
      <c r="G36" s="240"/>
      <c r="H36" s="74">
        <v>330</v>
      </c>
      <c r="I36" s="74">
        <v>8</v>
      </c>
      <c r="J36" s="74">
        <v>11</v>
      </c>
      <c r="K36" s="74">
        <v>50</v>
      </c>
      <c r="L36" s="21">
        <v>4</v>
      </c>
    </row>
    <row r="37" spans="1:12" ht="15.75" customHeight="1">
      <c r="A37" s="272" t="s">
        <v>131</v>
      </c>
      <c r="B37" s="239"/>
      <c r="C37" s="239"/>
      <c r="D37" s="239"/>
      <c r="E37" s="239"/>
      <c r="F37" s="239"/>
      <c r="G37" s="240"/>
      <c r="H37" s="75">
        <f t="shared" ref="H37:L37" si="12">(H35/H36)*100</f>
        <v>60.393939393939398</v>
      </c>
      <c r="I37" s="75">
        <f t="shared" si="12"/>
        <v>138.75000000000003</v>
      </c>
      <c r="J37" s="75">
        <f t="shared" si="12"/>
        <v>89.090909090909079</v>
      </c>
      <c r="K37" s="75">
        <f t="shared" si="12"/>
        <v>33</v>
      </c>
      <c r="L37" s="75">
        <f t="shared" si="12"/>
        <v>50</v>
      </c>
    </row>
    <row r="38" spans="1:12" ht="15.75" customHeight="1">
      <c r="A38" s="76"/>
      <c r="B38" s="76"/>
      <c r="C38" s="76"/>
      <c r="D38" s="76"/>
      <c r="E38" s="76"/>
      <c r="F38" s="76"/>
      <c r="G38" s="76"/>
      <c r="H38" s="76"/>
      <c r="I38" s="77"/>
      <c r="J38" s="77"/>
      <c r="K38" s="57"/>
      <c r="L38" s="57"/>
    </row>
    <row r="39" spans="1:12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15.75" customHeight="1">
      <c r="A40" s="284" t="s">
        <v>132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6"/>
    </row>
    <row r="41" spans="1:12" ht="15.75" customHeight="1">
      <c r="A41" s="63" t="s">
        <v>118</v>
      </c>
      <c r="B41" s="64" t="s">
        <v>119</v>
      </c>
      <c r="C41" s="63" t="s">
        <v>120</v>
      </c>
      <c r="D41" s="63" t="s">
        <v>121</v>
      </c>
      <c r="E41" s="67" t="s">
        <v>122</v>
      </c>
      <c r="F41" s="67" t="s">
        <v>123</v>
      </c>
      <c r="G41" s="67" t="s">
        <v>124</v>
      </c>
      <c r="H41" s="63" t="s">
        <v>125</v>
      </c>
      <c r="I41" s="63" t="s">
        <v>126</v>
      </c>
      <c r="J41" s="63" t="s">
        <v>127</v>
      </c>
      <c r="K41" s="63" t="s">
        <v>77</v>
      </c>
      <c r="L41" s="63" t="s">
        <v>128</v>
      </c>
    </row>
    <row r="42" spans="1:12" s="185" customFormat="1" ht="15.75" customHeight="1">
      <c r="A42" s="186" t="s">
        <v>259</v>
      </c>
      <c r="B42" s="40">
        <v>87</v>
      </c>
      <c r="C42" s="187">
        <v>66.7</v>
      </c>
      <c r="D42" s="175">
        <f t="shared" ref="D42" si="13">B42*C42%</f>
        <v>58.029000000000003</v>
      </c>
      <c r="E42" s="175">
        <v>1</v>
      </c>
      <c r="F42" s="188">
        <f t="shared" ref="F42" si="14">D42/E42</f>
        <v>58.029000000000003</v>
      </c>
      <c r="G42" s="172" t="s">
        <v>260</v>
      </c>
      <c r="H42" s="189">
        <v>90</v>
      </c>
      <c r="I42" s="189">
        <v>7.3</v>
      </c>
      <c r="J42" s="189">
        <v>6.2</v>
      </c>
      <c r="K42" s="189">
        <v>0.6</v>
      </c>
      <c r="L42" s="172">
        <v>0</v>
      </c>
    </row>
    <row r="43" spans="1:12" s="185" customFormat="1" ht="20.25" customHeight="1">
      <c r="A43" s="2" t="s">
        <v>245</v>
      </c>
      <c r="B43" s="40">
        <v>100</v>
      </c>
      <c r="C43" s="169">
        <v>115</v>
      </c>
      <c r="D43" s="39">
        <f>B43%*C43</f>
        <v>115</v>
      </c>
      <c r="E43" s="39">
        <v>1</v>
      </c>
      <c r="F43" s="170">
        <f>D43/E43</f>
        <v>115</v>
      </c>
      <c r="G43" s="40" t="s">
        <v>233</v>
      </c>
      <c r="H43" s="171">
        <v>70</v>
      </c>
      <c r="I43" s="171">
        <v>3</v>
      </c>
      <c r="J43" s="171">
        <v>3.5</v>
      </c>
      <c r="K43" s="171">
        <v>6</v>
      </c>
      <c r="L43" s="172">
        <v>0</v>
      </c>
    </row>
    <row r="44" spans="1:12" s="185" customFormat="1" ht="20.25" customHeight="1">
      <c r="A44" s="2" t="s">
        <v>36</v>
      </c>
      <c r="B44" s="68">
        <v>72</v>
      </c>
      <c r="C44" s="69">
        <v>116</v>
      </c>
      <c r="D44" s="47">
        <f t="shared" ref="D44:D45" si="15">B44%*C44</f>
        <v>83.52</v>
      </c>
      <c r="E44" s="47">
        <v>1</v>
      </c>
      <c r="F44" s="47">
        <f t="shared" ref="F44:F45" si="16">D44/E44</f>
        <v>83.52</v>
      </c>
      <c r="G44" s="21" t="s">
        <v>251</v>
      </c>
      <c r="H44" s="39">
        <v>39.299999999999997</v>
      </c>
      <c r="I44" s="39">
        <v>0.8</v>
      </c>
      <c r="J44" s="39">
        <v>0.1</v>
      </c>
      <c r="K44" s="184">
        <v>9.9</v>
      </c>
      <c r="L44" s="21">
        <v>2</v>
      </c>
    </row>
    <row r="45" spans="1:12" s="185" customFormat="1" ht="15.75" customHeight="1">
      <c r="A45" s="39" t="s">
        <v>244</v>
      </c>
      <c r="B45" s="68">
        <v>79</v>
      </c>
      <c r="C45" s="69">
        <v>35</v>
      </c>
      <c r="D45" s="47">
        <f t="shared" si="15"/>
        <v>27.650000000000002</v>
      </c>
      <c r="E45" s="47">
        <v>1</v>
      </c>
      <c r="F45" s="47">
        <f t="shared" si="16"/>
        <v>27.650000000000002</v>
      </c>
      <c r="G45" s="21" t="s">
        <v>230</v>
      </c>
      <c r="H45" s="39">
        <v>52.2</v>
      </c>
      <c r="I45" s="39">
        <v>0.6</v>
      </c>
      <c r="J45" s="39">
        <v>0.1</v>
      </c>
      <c r="K45" s="184">
        <v>13.8</v>
      </c>
      <c r="L45" s="21">
        <v>0.7</v>
      </c>
    </row>
    <row r="46" spans="1:12" ht="15.75" customHeight="1">
      <c r="A46" s="272" t="s">
        <v>129</v>
      </c>
      <c r="B46" s="239"/>
      <c r="C46" s="239"/>
      <c r="D46" s="239"/>
      <c r="E46" s="239"/>
      <c r="F46" s="239"/>
      <c r="G46" s="240"/>
      <c r="H46" s="73">
        <f>SUM(H42:H45)</f>
        <v>251.5</v>
      </c>
      <c r="I46" s="73">
        <f>SUM(I42:I45)</f>
        <v>11.700000000000001</v>
      </c>
      <c r="J46" s="73">
        <f>SUM(J42:J45)</f>
        <v>9.8999999999999986</v>
      </c>
      <c r="K46" s="73">
        <f>SUM(K42:K45)</f>
        <v>30.3</v>
      </c>
      <c r="L46" s="73">
        <f>SUM(L42:L45)</f>
        <v>2.7</v>
      </c>
    </row>
    <row r="47" spans="1:12" ht="15.75" customHeight="1">
      <c r="A47" s="272" t="s">
        <v>133</v>
      </c>
      <c r="B47" s="239"/>
      <c r="C47" s="239"/>
      <c r="D47" s="239"/>
      <c r="E47" s="239"/>
      <c r="F47" s="239"/>
      <c r="G47" s="240"/>
      <c r="H47" s="74">
        <v>668</v>
      </c>
      <c r="I47" s="74">
        <v>20.3</v>
      </c>
      <c r="J47" s="74">
        <v>22.5</v>
      </c>
      <c r="K47" s="74">
        <v>97.5</v>
      </c>
      <c r="L47" s="21">
        <v>10</v>
      </c>
    </row>
    <row r="48" spans="1:12" ht="15.75" customHeight="1">
      <c r="A48" s="272" t="s">
        <v>131</v>
      </c>
      <c r="B48" s="239"/>
      <c r="C48" s="239"/>
      <c r="D48" s="239"/>
      <c r="E48" s="239"/>
      <c r="F48" s="239"/>
      <c r="G48" s="240"/>
      <c r="H48" s="75">
        <f t="shared" ref="H48:L48" si="17">(H46/H47)*100</f>
        <v>37.649700598802397</v>
      </c>
      <c r="I48" s="75">
        <f t="shared" si="17"/>
        <v>57.635467980295573</v>
      </c>
      <c r="J48" s="75">
        <f t="shared" si="17"/>
        <v>43.999999999999993</v>
      </c>
      <c r="K48" s="75">
        <f t="shared" si="17"/>
        <v>31.07692307692308</v>
      </c>
      <c r="L48" s="75">
        <f t="shared" si="17"/>
        <v>27</v>
      </c>
    </row>
    <row r="49" spans="1:12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0" spans="1:12" ht="15.75" customHeight="1"/>
    <row r="51" spans="1:12" ht="15.75" customHeight="1"/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15">
    <mergeCell ref="A37:G37"/>
    <mergeCell ref="A40:L40"/>
    <mergeCell ref="A46:G46"/>
    <mergeCell ref="A47:G47"/>
    <mergeCell ref="A48:G48"/>
    <mergeCell ref="A15:B15"/>
    <mergeCell ref="L5:M5"/>
    <mergeCell ref="A30:L30"/>
    <mergeCell ref="A35:G35"/>
    <mergeCell ref="A36:G36"/>
    <mergeCell ref="A1:B2"/>
    <mergeCell ref="C1:D2"/>
    <mergeCell ref="E1:J2"/>
    <mergeCell ref="A3:B3"/>
    <mergeCell ref="C3:J14"/>
  </mergeCells>
  <phoneticPr fontId="30" type="noConversion"/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976"/>
  <sheetViews>
    <sheetView topLeftCell="A43" zoomScale="90" zoomScaleNormal="90" workbookViewId="0">
      <selection activeCell="B62" sqref="B62:F62"/>
    </sheetView>
  </sheetViews>
  <sheetFormatPr defaultColWidth="14.42578125" defaultRowHeight="15" customHeight="1"/>
  <cols>
    <col min="1" max="1" width="21.7109375" customWidth="1"/>
    <col min="2" max="2" width="18.140625" customWidth="1"/>
    <col min="3" max="9" width="12.5703125" customWidth="1"/>
    <col min="10" max="10" width="14.7109375" bestFit="1" customWidth="1"/>
    <col min="11" max="11" width="12.5703125" customWidth="1"/>
    <col min="12" max="12" width="21.5703125" customWidth="1"/>
    <col min="13" max="13" width="10.42578125" customWidth="1"/>
  </cols>
  <sheetData>
    <row r="1" spans="1:13" ht="15.75" customHeight="1">
      <c r="A1" s="255"/>
      <c r="B1" s="256"/>
      <c r="C1" s="258"/>
      <c r="D1" s="256"/>
      <c r="E1" s="261"/>
      <c r="F1" s="262"/>
      <c r="G1" s="262"/>
      <c r="H1" s="262"/>
      <c r="I1" s="262"/>
      <c r="J1" s="263"/>
    </row>
    <row r="2" spans="1:13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</row>
    <row r="3" spans="1:13" ht="16.5" customHeight="1">
      <c r="A3" s="266" t="s">
        <v>0</v>
      </c>
      <c r="B3" s="279"/>
      <c r="C3" s="280"/>
      <c r="D3" s="262"/>
      <c r="E3" s="262"/>
      <c r="F3" s="262"/>
      <c r="G3" s="262"/>
      <c r="H3" s="262"/>
      <c r="I3" s="262"/>
      <c r="J3" s="263"/>
    </row>
    <row r="4" spans="1:13" ht="15.75">
      <c r="A4" s="78" t="s">
        <v>5</v>
      </c>
      <c r="B4" s="95" t="s">
        <v>6</v>
      </c>
      <c r="C4" s="281"/>
      <c r="D4" s="270"/>
      <c r="E4" s="270"/>
      <c r="F4" s="270"/>
      <c r="G4" s="270"/>
      <c r="H4" s="270"/>
      <c r="I4" s="270"/>
      <c r="J4" s="282"/>
    </row>
    <row r="5" spans="1:13" ht="15.75">
      <c r="A5" s="2" t="s">
        <v>68</v>
      </c>
      <c r="B5" s="2" t="s">
        <v>68</v>
      </c>
      <c r="C5" s="281"/>
      <c r="D5" s="270"/>
      <c r="E5" s="270"/>
      <c r="F5" s="270"/>
      <c r="G5" s="270"/>
      <c r="H5" s="270"/>
      <c r="I5" s="270"/>
      <c r="J5" s="282"/>
      <c r="L5" s="241" t="s">
        <v>63</v>
      </c>
      <c r="M5" s="240"/>
    </row>
    <row r="6" spans="1:13" ht="31.5">
      <c r="A6" s="2" t="s">
        <v>69</v>
      </c>
      <c r="B6" s="2" t="s">
        <v>69</v>
      </c>
      <c r="C6" s="281"/>
      <c r="D6" s="270"/>
      <c r="E6" s="270"/>
      <c r="F6" s="270"/>
      <c r="G6" s="270"/>
      <c r="H6" s="270"/>
      <c r="I6" s="270"/>
      <c r="J6" s="282"/>
      <c r="L6" s="9" t="s">
        <v>64</v>
      </c>
      <c r="M6" s="9">
        <v>1043</v>
      </c>
    </row>
    <row r="7" spans="1:13" ht="15.75">
      <c r="A7" s="2" t="s">
        <v>246</v>
      </c>
      <c r="B7" s="2" t="s">
        <v>246</v>
      </c>
      <c r="C7" s="281"/>
      <c r="D7" s="270"/>
      <c r="E7" s="270"/>
      <c r="F7" s="270"/>
      <c r="G7" s="270"/>
      <c r="H7" s="270"/>
      <c r="I7" s="270"/>
      <c r="J7" s="282"/>
      <c r="L7" s="9" t="s">
        <v>67</v>
      </c>
      <c r="M7" s="9">
        <f>1070+253+1</f>
        <v>1324</v>
      </c>
    </row>
    <row r="8" spans="1:13" ht="15.75">
      <c r="A8" s="2" t="s">
        <v>36</v>
      </c>
      <c r="B8" s="2" t="s">
        <v>36</v>
      </c>
      <c r="C8" s="281"/>
      <c r="D8" s="270"/>
      <c r="E8" s="270"/>
      <c r="F8" s="270"/>
      <c r="G8" s="270"/>
      <c r="H8" s="270"/>
      <c r="I8" s="270"/>
      <c r="J8" s="282"/>
      <c r="L8" s="9" t="s">
        <v>65</v>
      </c>
      <c r="M8" s="9">
        <v>204</v>
      </c>
    </row>
    <row r="9" spans="1:13" ht="15.75">
      <c r="A9" s="2" t="s">
        <v>265</v>
      </c>
      <c r="B9" s="2" t="s">
        <v>265</v>
      </c>
      <c r="C9" s="281"/>
      <c r="D9" s="270"/>
      <c r="E9" s="270"/>
      <c r="F9" s="270"/>
      <c r="G9" s="270"/>
      <c r="H9" s="270"/>
      <c r="I9" s="270"/>
      <c r="J9" s="282"/>
      <c r="L9" s="9" t="s">
        <v>66</v>
      </c>
      <c r="M9" s="9">
        <f>297+16+1</f>
        <v>314</v>
      </c>
    </row>
    <row r="10" spans="1:13" ht="15.75">
      <c r="A10" s="192"/>
      <c r="B10" s="192" t="s">
        <v>266</v>
      </c>
      <c r="C10" s="281"/>
      <c r="D10" s="270"/>
      <c r="E10" s="270"/>
      <c r="F10" s="270"/>
      <c r="G10" s="270"/>
      <c r="H10" s="270"/>
      <c r="I10" s="270"/>
      <c r="J10" s="282"/>
      <c r="L10" s="9" t="s">
        <v>70</v>
      </c>
      <c r="M10" s="9">
        <f>M9+M8</f>
        <v>518</v>
      </c>
    </row>
    <row r="11" spans="1:13" ht="15.75">
      <c r="A11" s="193"/>
      <c r="B11" s="194"/>
      <c r="C11" s="281"/>
      <c r="D11" s="270"/>
      <c r="E11" s="270"/>
      <c r="F11" s="270"/>
      <c r="G11" s="270"/>
      <c r="H11" s="270"/>
      <c r="I11" s="270"/>
      <c r="J11" s="282"/>
      <c r="L11" s="9" t="s">
        <v>71</v>
      </c>
      <c r="M11" s="9">
        <f>M8+M6</f>
        <v>1247</v>
      </c>
    </row>
    <row r="12" spans="1:13" ht="15.75">
      <c r="A12" s="194"/>
      <c r="B12" s="194"/>
      <c r="C12" s="281"/>
      <c r="D12" s="270"/>
      <c r="E12" s="270"/>
      <c r="F12" s="270"/>
      <c r="G12" s="270"/>
      <c r="H12" s="270"/>
      <c r="I12" s="270"/>
      <c r="J12" s="282"/>
      <c r="L12" s="9" t="s">
        <v>72</v>
      </c>
      <c r="M12" s="9">
        <f>M7+M9</f>
        <v>1638</v>
      </c>
    </row>
    <row r="13" spans="1:13" ht="15.75">
      <c r="A13" s="194"/>
      <c r="B13" s="194"/>
      <c r="C13" s="281"/>
      <c r="D13" s="270"/>
      <c r="E13" s="270"/>
      <c r="F13" s="270"/>
      <c r="G13" s="270"/>
      <c r="H13" s="270"/>
      <c r="I13" s="270"/>
      <c r="J13" s="282"/>
      <c r="L13" s="11" t="s">
        <v>73</v>
      </c>
      <c r="M13" s="11">
        <f>SUM(M6:M9)</f>
        <v>2885</v>
      </c>
    </row>
    <row r="14" spans="1:13" ht="15.75">
      <c r="A14" s="194"/>
      <c r="B14" s="194"/>
      <c r="C14" s="283"/>
      <c r="D14" s="264"/>
      <c r="E14" s="264"/>
      <c r="F14" s="264"/>
      <c r="G14" s="264"/>
      <c r="H14" s="264"/>
      <c r="I14" s="264"/>
      <c r="J14" s="265"/>
    </row>
    <row r="15" spans="1:13" ht="15.75">
      <c r="A15" s="276" t="s">
        <v>77</v>
      </c>
      <c r="B15" s="277"/>
      <c r="C15" s="17" t="s">
        <v>78</v>
      </c>
      <c r="D15" s="18" t="s">
        <v>79</v>
      </c>
      <c r="E15" s="17" t="s">
        <v>80</v>
      </c>
      <c r="F15" s="17" t="s">
        <v>81</v>
      </c>
      <c r="G15" s="19" t="s">
        <v>82</v>
      </c>
      <c r="H15" s="17" t="s">
        <v>83</v>
      </c>
      <c r="I15" s="17" t="s">
        <v>84</v>
      </c>
      <c r="J15" s="17" t="s">
        <v>85</v>
      </c>
    </row>
    <row r="16" spans="1:13" ht="15.75">
      <c r="A16" s="21" t="s">
        <v>10</v>
      </c>
      <c r="B16" s="22" t="s">
        <v>137</v>
      </c>
      <c r="C16" s="39">
        <v>2</v>
      </c>
      <c r="D16" s="33">
        <v>518</v>
      </c>
      <c r="E16" s="25">
        <f t="shared" ref="E16:E17" si="0">C16*D16</f>
        <v>1036</v>
      </c>
      <c r="F16" s="25">
        <f t="shared" ref="F16:F17" si="1">(E16+(E16*4%))</f>
        <v>1077.44</v>
      </c>
      <c r="G16" s="33">
        <f t="shared" ref="G16:G17" si="2">+F16/1000</f>
        <v>1.07744</v>
      </c>
      <c r="H16" s="33" t="s">
        <v>94</v>
      </c>
      <c r="I16" s="120">
        <v>1000</v>
      </c>
      <c r="J16" s="112">
        <f>F16*I16</f>
        <v>1077440</v>
      </c>
    </row>
    <row r="17" spans="1:11" ht="15.75">
      <c r="A17" s="21"/>
      <c r="B17" s="22" t="s">
        <v>138</v>
      </c>
      <c r="C17" s="39">
        <v>50</v>
      </c>
      <c r="D17" s="33">
        <v>518</v>
      </c>
      <c r="E17" s="25">
        <f t="shared" si="0"/>
        <v>25900</v>
      </c>
      <c r="F17" s="25">
        <f t="shared" si="1"/>
        <v>26936</v>
      </c>
      <c r="G17" s="33">
        <f t="shared" si="2"/>
        <v>26.936</v>
      </c>
      <c r="H17" s="33" t="s">
        <v>86</v>
      </c>
      <c r="I17" s="120">
        <v>13000</v>
      </c>
      <c r="J17" s="112">
        <f>G17*I17</f>
        <v>350168</v>
      </c>
    </row>
    <row r="18" spans="1:11" ht="15.75" customHeight="1">
      <c r="A18" s="29" t="s">
        <v>87</v>
      </c>
      <c r="B18" s="30"/>
      <c r="C18" s="30"/>
      <c r="D18" s="30"/>
      <c r="E18" s="30"/>
      <c r="F18" s="30"/>
      <c r="G18" s="30"/>
      <c r="H18" s="116"/>
      <c r="I18" s="114"/>
      <c r="J18" s="112">
        <f t="shared" ref="J18:J27" si="3">G18*I18</f>
        <v>0</v>
      </c>
    </row>
    <row r="19" spans="1:11" ht="15.75" customHeight="1">
      <c r="A19" s="21"/>
      <c r="B19" s="22" t="s">
        <v>167</v>
      </c>
      <c r="C19" s="33">
        <f>1000/15*2</f>
        <v>133.33333333333334</v>
      </c>
      <c r="D19" s="24">
        <v>518</v>
      </c>
      <c r="E19" s="25">
        <f t="shared" ref="E19:E20" si="4">C19*D19</f>
        <v>69066.666666666672</v>
      </c>
      <c r="F19" s="25">
        <f t="shared" ref="F19:F20" si="5">(E19+(E19*4%))</f>
        <v>71829.333333333343</v>
      </c>
      <c r="G19" s="33">
        <f>+F19/1000</f>
        <v>71.829333333333338</v>
      </c>
      <c r="H19" s="28" t="s">
        <v>86</v>
      </c>
      <c r="I19" s="111">
        <v>32000</v>
      </c>
      <c r="J19" s="112">
        <f t="shared" si="3"/>
        <v>2298538.666666667</v>
      </c>
    </row>
    <row r="20" spans="1:11" ht="15.75" customHeight="1">
      <c r="A20" s="21"/>
      <c r="B20" s="22" t="s">
        <v>172</v>
      </c>
      <c r="C20" s="33">
        <v>2</v>
      </c>
      <c r="D20" s="47">
        <v>518</v>
      </c>
      <c r="E20" s="25">
        <f t="shared" si="4"/>
        <v>1036</v>
      </c>
      <c r="F20" s="25">
        <f t="shared" si="5"/>
        <v>1077.44</v>
      </c>
      <c r="G20" s="33">
        <f>+F20</f>
        <v>1077.44</v>
      </c>
      <c r="H20" s="28" t="s">
        <v>94</v>
      </c>
      <c r="I20" s="111">
        <v>3500</v>
      </c>
      <c r="J20" s="112">
        <f t="shared" si="3"/>
        <v>3771040</v>
      </c>
    </row>
    <row r="21" spans="1:11" ht="15.75" customHeight="1">
      <c r="A21" s="36" t="s">
        <v>92</v>
      </c>
      <c r="B21" s="37"/>
      <c r="C21" s="37"/>
      <c r="D21" s="37"/>
      <c r="E21" s="37"/>
      <c r="F21" s="37"/>
      <c r="G21" s="37"/>
      <c r="H21" s="117"/>
      <c r="I21" s="114"/>
      <c r="J21" s="112">
        <f t="shared" si="3"/>
        <v>0</v>
      </c>
    </row>
    <row r="22" spans="1:11" ht="15.75" customHeight="1">
      <c r="A22" s="41" t="s">
        <v>96</v>
      </c>
      <c r="B22" s="42"/>
      <c r="C22" s="42"/>
      <c r="D22" s="42"/>
      <c r="E22" s="42"/>
      <c r="F22" s="42"/>
      <c r="G22" s="42"/>
      <c r="H22" s="107"/>
      <c r="I22" s="114"/>
      <c r="J22" s="112">
        <f t="shared" si="3"/>
        <v>0</v>
      </c>
    </row>
    <row r="23" spans="1:11" ht="15.75" customHeight="1">
      <c r="A23" s="195" t="s">
        <v>97</v>
      </c>
      <c r="B23" s="80"/>
      <c r="C23" s="80"/>
      <c r="D23" s="80"/>
      <c r="E23" s="80"/>
      <c r="F23" s="80"/>
      <c r="G23" s="80"/>
      <c r="H23" s="80"/>
      <c r="I23" s="201"/>
      <c r="J23" s="112">
        <f t="shared" si="3"/>
        <v>0</v>
      </c>
    </row>
    <row r="24" spans="1:11" s="191" customFormat="1" ht="15.75" customHeight="1">
      <c r="A24" s="213"/>
      <c r="B24" s="215" t="s">
        <v>98</v>
      </c>
      <c r="C24" s="213">
        <v>1</v>
      </c>
      <c r="D24" s="213">
        <v>518</v>
      </c>
      <c r="E24" s="210">
        <f t="shared" ref="E24" si="6">C24*D24</f>
        <v>518</v>
      </c>
      <c r="F24" s="210">
        <f t="shared" ref="F24" si="7">(E24+(E24*3%))</f>
        <v>533.54</v>
      </c>
      <c r="G24" s="211">
        <f t="shared" ref="G24" si="8">+F24</f>
        <v>533.54</v>
      </c>
      <c r="H24" s="212" t="s">
        <v>94</v>
      </c>
      <c r="I24" s="214"/>
      <c r="J24" s="200"/>
    </row>
    <row r="25" spans="1:11" ht="15.75" customHeight="1">
      <c r="A25" s="202"/>
      <c r="B25" s="203" t="s">
        <v>139</v>
      </c>
      <c r="C25" s="204">
        <v>2</v>
      </c>
      <c r="D25" s="205">
        <v>518</v>
      </c>
      <c r="E25" s="206">
        <f t="shared" ref="E25:E27" si="9">C25*D25</f>
        <v>1036</v>
      </c>
      <c r="F25" s="206">
        <f t="shared" ref="F25:F27" si="10">(E25+(E25*3%))</f>
        <v>1067.08</v>
      </c>
      <c r="G25" s="207">
        <f t="shared" ref="G25" si="11">+F25</f>
        <v>1067.08</v>
      </c>
      <c r="H25" s="208" t="s">
        <v>94</v>
      </c>
      <c r="I25" s="209">
        <v>2300</v>
      </c>
      <c r="J25" s="112">
        <f t="shared" si="3"/>
        <v>2454284</v>
      </c>
    </row>
    <row r="26" spans="1:11" ht="15.75" customHeight="1">
      <c r="A26" s="198"/>
      <c r="B26" s="199" t="s">
        <v>209</v>
      </c>
      <c r="C26" s="96">
        <v>40</v>
      </c>
      <c r="D26" s="24">
        <v>518</v>
      </c>
      <c r="E26" s="25">
        <f t="shared" si="9"/>
        <v>20720</v>
      </c>
      <c r="F26" s="25">
        <f t="shared" si="10"/>
        <v>21341.599999999999</v>
      </c>
      <c r="G26" s="33">
        <f>+F26/1000</f>
        <v>21.3416</v>
      </c>
      <c r="H26" s="28" t="s">
        <v>86</v>
      </c>
      <c r="I26" s="111">
        <v>50000</v>
      </c>
      <c r="J26" s="112">
        <f t="shared" si="3"/>
        <v>1067080</v>
      </c>
    </row>
    <row r="27" spans="1:11" ht="15.75" customHeight="1">
      <c r="A27" s="198"/>
      <c r="B27" s="199" t="s">
        <v>45</v>
      </c>
      <c r="C27" s="96">
        <v>110</v>
      </c>
      <c r="D27" s="47">
        <v>314</v>
      </c>
      <c r="E27" s="25">
        <f t="shared" si="9"/>
        <v>34540</v>
      </c>
      <c r="F27" s="25">
        <f t="shared" si="10"/>
        <v>35576.199999999997</v>
      </c>
      <c r="G27" s="33">
        <f>+F27/1000</f>
        <v>35.5762</v>
      </c>
      <c r="H27" s="28" t="s">
        <v>86</v>
      </c>
      <c r="I27" s="111">
        <v>40000</v>
      </c>
      <c r="J27" s="112">
        <f t="shared" si="3"/>
        <v>1423048</v>
      </c>
    </row>
    <row r="28" spans="1:11" ht="15.75" customHeight="1">
      <c r="A28" s="196" t="s">
        <v>99</v>
      </c>
      <c r="B28" s="197"/>
      <c r="C28" s="49"/>
      <c r="D28" s="49"/>
      <c r="E28" s="49"/>
      <c r="F28" s="49"/>
      <c r="G28" s="49"/>
      <c r="H28" s="109"/>
      <c r="I28" s="114"/>
      <c r="J28" s="115"/>
    </row>
    <row r="29" spans="1:11" ht="15.75" customHeight="1">
      <c r="A29" s="21"/>
      <c r="B29" s="84" t="s">
        <v>141</v>
      </c>
      <c r="C29" s="33">
        <v>30</v>
      </c>
      <c r="D29" s="24">
        <v>518</v>
      </c>
      <c r="E29" s="25">
        <f t="shared" ref="E29:E38" si="12">C29*D29</f>
        <v>15540</v>
      </c>
      <c r="F29" s="25">
        <f t="shared" ref="F29:F38" si="13">(E29+(E29*3%))</f>
        <v>16006.2</v>
      </c>
      <c r="G29" s="33">
        <f t="shared" ref="G29:G30" si="14">F29/1000</f>
        <v>16.0062</v>
      </c>
      <c r="H29" s="28" t="s">
        <v>142</v>
      </c>
      <c r="I29" s="111">
        <v>26000</v>
      </c>
      <c r="J29" s="112">
        <f>K29*I29</f>
        <v>416161.2</v>
      </c>
      <c r="K29" s="118">
        <f>F29/1000</f>
        <v>16.0062</v>
      </c>
    </row>
    <row r="30" spans="1:11" ht="15.75" customHeight="1">
      <c r="A30" s="26"/>
      <c r="B30" s="26" t="s">
        <v>143</v>
      </c>
      <c r="C30" s="85">
        <f>1000/15/10</f>
        <v>6.666666666666667</v>
      </c>
      <c r="D30" s="24">
        <v>518</v>
      </c>
      <c r="E30" s="25">
        <f t="shared" si="12"/>
        <v>3453.3333333333335</v>
      </c>
      <c r="F30" s="25">
        <f t="shared" si="13"/>
        <v>3556.9333333333334</v>
      </c>
      <c r="G30" s="33">
        <f t="shared" si="14"/>
        <v>3.5569333333333333</v>
      </c>
      <c r="H30" s="28" t="s">
        <v>95</v>
      </c>
      <c r="I30" s="111">
        <v>32000</v>
      </c>
      <c r="J30" s="112">
        <f t="shared" ref="J30:J35" si="15">K30*I30</f>
        <v>113821.86666666667</v>
      </c>
      <c r="K30" s="118">
        <f t="shared" ref="K30:K35" si="16">F30/1000</f>
        <v>3.5569333333333333</v>
      </c>
    </row>
    <row r="31" spans="1:11" ht="15.75" customHeight="1">
      <c r="A31" s="26"/>
      <c r="B31" s="26" t="s">
        <v>170</v>
      </c>
      <c r="C31" s="50">
        <v>50</v>
      </c>
      <c r="D31" s="24">
        <v>518</v>
      </c>
      <c r="E31" s="25">
        <f t="shared" si="12"/>
        <v>25900</v>
      </c>
      <c r="F31" s="25">
        <f t="shared" si="13"/>
        <v>26677</v>
      </c>
      <c r="G31" s="33">
        <f t="shared" ref="G31:G35" si="17">+F31/1000</f>
        <v>26.677</v>
      </c>
      <c r="H31" s="28" t="s">
        <v>86</v>
      </c>
      <c r="I31" s="111">
        <v>18000</v>
      </c>
      <c r="J31" s="112">
        <f t="shared" si="15"/>
        <v>480186</v>
      </c>
      <c r="K31" s="118">
        <f t="shared" si="16"/>
        <v>26.677</v>
      </c>
    </row>
    <row r="32" spans="1:11" ht="15.75" customHeight="1">
      <c r="A32" s="26"/>
      <c r="B32" s="26" t="s">
        <v>108</v>
      </c>
      <c r="C32" s="50">
        <v>3</v>
      </c>
      <c r="D32" s="24">
        <v>518</v>
      </c>
      <c r="E32" s="25">
        <f t="shared" si="12"/>
        <v>1554</v>
      </c>
      <c r="F32" s="25">
        <f t="shared" si="13"/>
        <v>1600.62</v>
      </c>
      <c r="G32" s="33">
        <f t="shared" si="17"/>
        <v>1.6006199999999999</v>
      </c>
      <c r="H32" s="28" t="s">
        <v>86</v>
      </c>
      <c r="I32" s="111">
        <v>19000</v>
      </c>
      <c r="J32" s="112">
        <f t="shared" si="15"/>
        <v>30411.78</v>
      </c>
      <c r="K32" s="118">
        <f t="shared" si="16"/>
        <v>1.6006199999999999</v>
      </c>
    </row>
    <row r="33" spans="1:12" ht="15.75" customHeight="1">
      <c r="A33" s="26"/>
      <c r="B33" s="26" t="s">
        <v>110</v>
      </c>
      <c r="C33" s="50">
        <v>10</v>
      </c>
      <c r="D33" s="24">
        <v>518</v>
      </c>
      <c r="E33" s="25">
        <f t="shared" si="12"/>
        <v>5180</v>
      </c>
      <c r="F33" s="25">
        <f t="shared" si="13"/>
        <v>5335.4</v>
      </c>
      <c r="G33" s="33">
        <f t="shared" si="17"/>
        <v>5.3353999999999999</v>
      </c>
      <c r="H33" s="28" t="s">
        <v>111</v>
      </c>
      <c r="I33" s="111">
        <v>19500</v>
      </c>
      <c r="J33" s="112">
        <f t="shared" si="15"/>
        <v>104040.3</v>
      </c>
      <c r="K33" s="118">
        <f t="shared" si="16"/>
        <v>5.3353999999999999</v>
      </c>
    </row>
    <row r="34" spans="1:12" ht="15.75" customHeight="1">
      <c r="A34" s="38"/>
      <c r="B34" s="26" t="s">
        <v>106</v>
      </c>
      <c r="C34" s="21">
        <v>1</v>
      </c>
      <c r="D34" s="24">
        <v>518</v>
      </c>
      <c r="E34" s="25">
        <f t="shared" si="12"/>
        <v>518</v>
      </c>
      <c r="F34" s="25">
        <f t="shared" si="13"/>
        <v>533.54</v>
      </c>
      <c r="G34" s="33">
        <f t="shared" si="17"/>
        <v>0.53354000000000001</v>
      </c>
      <c r="H34" s="28" t="s">
        <v>86</v>
      </c>
      <c r="I34" s="111">
        <v>13000</v>
      </c>
      <c r="J34" s="112">
        <f t="shared" si="15"/>
        <v>6936.02</v>
      </c>
      <c r="K34" s="118">
        <f t="shared" si="16"/>
        <v>0.53354000000000001</v>
      </c>
    </row>
    <row r="35" spans="1:12" ht="15.75" customHeight="1">
      <c r="A35" s="51"/>
      <c r="B35" s="26" t="s">
        <v>183</v>
      </c>
      <c r="C35" s="21">
        <v>0.5</v>
      </c>
      <c r="D35" s="24">
        <v>518</v>
      </c>
      <c r="E35" s="25">
        <f t="shared" si="12"/>
        <v>259</v>
      </c>
      <c r="F35" s="25">
        <f t="shared" si="13"/>
        <v>266.77</v>
      </c>
      <c r="G35" s="33">
        <f t="shared" si="17"/>
        <v>0.26677000000000001</v>
      </c>
      <c r="H35" s="28" t="s">
        <v>86</v>
      </c>
      <c r="I35" s="111">
        <v>59000</v>
      </c>
      <c r="J35" s="112">
        <f t="shared" si="15"/>
        <v>15739.43</v>
      </c>
      <c r="K35" s="118">
        <f t="shared" si="16"/>
        <v>0.26677000000000001</v>
      </c>
    </row>
    <row r="36" spans="1:12" ht="15.75" customHeight="1">
      <c r="A36" s="26"/>
      <c r="B36" s="51" t="s">
        <v>145</v>
      </c>
      <c r="C36" s="52">
        <v>1</v>
      </c>
      <c r="D36" s="24">
        <v>518</v>
      </c>
      <c r="E36" s="53">
        <f t="shared" si="12"/>
        <v>518</v>
      </c>
      <c r="F36" s="53">
        <f t="shared" si="13"/>
        <v>533.54</v>
      </c>
      <c r="G36" s="54">
        <f t="shared" ref="G36:G38" si="18">F36</f>
        <v>533.54</v>
      </c>
      <c r="H36" s="56" t="s">
        <v>94</v>
      </c>
      <c r="I36" s="111"/>
      <c r="J36" s="119">
        <f>SUM(J16:J35)</f>
        <v>13608895.263333334</v>
      </c>
    </row>
    <row r="37" spans="1:12" ht="15.75" customHeight="1">
      <c r="A37" s="26"/>
      <c r="B37" s="51" t="s">
        <v>147</v>
      </c>
      <c r="C37" s="52">
        <v>1</v>
      </c>
      <c r="D37" s="24">
        <v>518</v>
      </c>
      <c r="E37" s="53">
        <f t="shared" si="12"/>
        <v>518</v>
      </c>
      <c r="F37" s="53">
        <f t="shared" si="13"/>
        <v>533.54</v>
      </c>
      <c r="G37" s="54">
        <f t="shared" si="18"/>
        <v>533.54</v>
      </c>
      <c r="H37" s="56" t="s">
        <v>95</v>
      </c>
      <c r="I37" s="26"/>
      <c r="J37" s="87"/>
    </row>
    <row r="38" spans="1:12" ht="15.75" customHeight="1">
      <c r="A38" s="26"/>
      <c r="B38" s="51" t="s">
        <v>171</v>
      </c>
      <c r="C38" s="52">
        <v>1</v>
      </c>
      <c r="D38" s="24">
        <v>518</v>
      </c>
      <c r="E38" s="53">
        <f t="shared" si="12"/>
        <v>518</v>
      </c>
      <c r="F38" s="53">
        <f t="shared" si="13"/>
        <v>533.54</v>
      </c>
      <c r="G38" s="54">
        <f t="shared" si="18"/>
        <v>533.54</v>
      </c>
      <c r="H38" s="56" t="s">
        <v>94</v>
      </c>
      <c r="I38" s="26"/>
      <c r="J38" s="87"/>
    </row>
    <row r="39" spans="1:12" ht="15.75" customHeight="1">
      <c r="A39" s="57"/>
      <c r="B39" s="57"/>
      <c r="C39" s="57"/>
      <c r="D39" s="57"/>
      <c r="E39" s="57"/>
      <c r="F39" s="57"/>
      <c r="G39" s="57"/>
      <c r="H39" s="60"/>
      <c r="I39" s="57"/>
    </row>
    <row r="40" spans="1:12" ht="15.75" customHeight="1">
      <c r="A40" s="57"/>
      <c r="B40" s="57"/>
      <c r="C40" s="57"/>
      <c r="D40" s="57"/>
      <c r="E40" s="57"/>
      <c r="F40" s="57"/>
      <c r="G40" s="57"/>
      <c r="H40" s="60"/>
      <c r="I40" s="57"/>
    </row>
    <row r="41" spans="1:12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</row>
    <row r="42" spans="1:12" ht="15.75" customHeight="1">
      <c r="A42" s="284" t="s">
        <v>134</v>
      </c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6"/>
    </row>
    <row r="43" spans="1:12" ht="15.75" customHeight="1">
      <c r="A43" s="63" t="s">
        <v>118</v>
      </c>
      <c r="B43" s="64" t="s">
        <v>119</v>
      </c>
      <c r="C43" s="63" t="s">
        <v>120</v>
      </c>
      <c r="D43" s="63" t="s">
        <v>121</v>
      </c>
      <c r="E43" s="67" t="s">
        <v>122</v>
      </c>
      <c r="F43" s="67" t="s">
        <v>123</v>
      </c>
      <c r="G43" s="67" t="s">
        <v>124</v>
      </c>
      <c r="H43" s="63" t="s">
        <v>125</v>
      </c>
      <c r="I43" s="63" t="s">
        <v>126</v>
      </c>
      <c r="J43" s="63" t="s">
        <v>127</v>
      </c>
      <c r="K43" s="63" t="s">
        <v>77</v>
      </c>
      <c r="L43" s="63" t="s">
        <v>128</v>
      </c>
    </row>
    <row r="44" spans="1:12" ht="20.25" customHeight="1">
      <c r="A44" s="2" t="s">
        <v>10</v>
      </c>
      <c r="B44" s="68">
        <v>100</v>
      </c>
      <c r="C44" s="69">
        <v>100</v>
      </c>
      <c r="D44" s="47">
        <f t="shared" ref="D44" si="19">B44%*C44</f>
        <v>100</v>
      </c>
      <c r="E44" s="47">
        <v>1</v>
      </c>
      <c r="F44" s="47">
        <f t="shared" ref="F44:F45" si="20">D44/E44</f>
        <v>100</v>
      </c>
      <c r="G44" s="21" t="s">
        <v>256</v>
      </c>
      <c r="H44" s="21">
        <v>290</v>
      </c>
      <c r="I44" s="21">
        <v>7</v>
      </c>
      <c r="J44" s="21">
        <v>10</v>
      </c>
      <c r="K44" s="21">
        <v>45</v>
      </c>
      <c r="L44" s="21">
        <v>0</v>
      </c>
    </row>
    <row r="45" spans="1:12" ht="20.25" customHeight="1">
      <c r="A45" s="186" t="s">
        <v>261</v>
      </c>
      <c r="B45" s="40">
        <v>87</v>
      </c>
      <c r="C45" s="187">
        <f>66.7*2</f>
        <v>133.4</v>
      </c>
      <c r="D45" s="175">
        <f t="shared" ref="D45" si="21">B45*C45%</f>
        <v>116.05800000000001</v>
      </c>
      <c r="E45" s="175">
        <v>1</v>
      </c>
      <c r="F45" s="188">
        <f t="shared" si="20"/>
        <v>116.05800000000001</v>
      </c>
      <c r="G45" s="172" t="s">
        <v>263</v>
      </c>
      <c r="H45" s="189">
        <v>179</v>
      </c>
      <c r="I45" s="189">
        <v>14.6</v>
      </c>
      <c r="J45" s="189">
        <v>12.3</v>
      </c>
      <c r="K45" s="189">
        <v>1.9</v>
      </c>
      <c r="L45" s="172">
        <v>0</v>
      </c>
    </row>
    <row r="46" spans="1:12" ht="20.25" customHeight="1">
      <c r="A46" s="2" t="s">
        <v>246</v>
      </c>
      <c r="B46" s="40">
        <v>100</v>
      </c>
      <c r="C46" s="169">
        <f>115*2</f>
        <v>230</v>
      </c>
      <c r="D46" s="39">
        <f>B46%*C46</f>
        <v>230</v>
      </c>
      <c r="E46" s="39">
        <v>1</v>
      </c>
      <c r="F46" s="170">
        <f>D46/E46</f>
        <v>230</v>
      </c>
      <c r="G46" s="40" t="s">
        <v>262</v>
      </c>
      <c r="H46" s="33">
        <v>140</v>
      </c>
      <c r="I46" s="33">
        <v>6</v>
      </c>
      <c r="J46" s="33">
        <v>7</v>
      </c>
      <c r="K46" s="33">
        <v>12</v>
      </c>
      <c r="L46" s="21">
        <v>0</v>
      </c>
    </row>
    <row r="47" spans="1:12" s="191" customFormat="1" ht="20.25" customHeight="1">
      <c r="A47" s="216" t="s">
        <v>98</v>
      </c>
      <c r="B47" s="68">
        <v>48</v>
      </c>
      <c r="C47" s="69">
        <v>85</v>
      </c>
      <c r="D47" s="47">
        <f t="shared" ref="D47" si="22">B47%*C47</f>
        <v>40.799999999999997</v>
      </c>
      <c r="E47" s="47">
        <v>1</v>
      </c>
      <c r="F47" s="47">
        <f t="shared" ref="F47" si="23">D47/E47</f>
        <v>40.799999999999997</v>
      </c>
      <c r="G47" s="21" t="s">
        <v>229</v>
      </c>
      <c r="H47" s="39">
        <v>32.700000000000003</v>
      </c>
      <c r="I47" s="39">
        <v>1</v>
      </c>
      <c r="J47" s="39">
        <v>0.2</v>
      </c>
      <c r="K47" s="190">
        <v>5.2</v>
      </c>
      <c r="L47" s="21">
        <v>0.6</v>
      </c>
    </row>
    <row r="48" spans="1:12" ht="20.25" customHeight="1">
      <c r="A48" s="2" t="s">
        <v>36</v>
      </c>
      <c r="B48" s="68">
        <v>72</v>
      </c>
      <c r="C48" s="69">
        <v>100</v>
      </c>
      <c r="D48" s="47">
        <f t="shared" ref="D48:D49" si="24">B48%*C48</f>
        <v>72</v>
      </c>
      <c r="E48" s="47">
        <v>1</v>
      </c>
      <c r="F48" s="47">
        <f t="shared" ref="F48:F49" si="25">D48/E48</f>
        <v>72</v>
      </c>
      <c r="G48" s="21" t="s">
        <v>251</v>
      </c>
      <c r="H48" s="39">
        <v>25</v>
      </c>
      <c r="I48" s="39">
        <v>0.4</v>
      </c>
      <c r="J48" s="39">
        <v>0.1</v>
      </c>
      <c r="K48" s="184">
        <v>6.4</v>
      </c>
      <c r="L48" s="21">
        <v>0.7</v>
      </c>
    </row>
    <row r="49" spans="1:12" ht="15.75" customHeight="1">
      <c r="A49" s="2" t="s">
        <v>267</v>
      </c>
      <c r="B49" s="68">
        <v>79</v>
      </c>
      <c r="C49" s="69">
        <v>40</v>
      </c>
      <c r="D49" s="47">
        <f t="shared" si="24"/>
        <v>31.6</v>
      </c>
      <c r="E49" s="47">
        <v>1</v>
      </c>
      <c r="F49" s="47">
        <f t="shared" si="25"/>
        <v>31.6</v>
      </c>
      <c r="G49" s="21" t="s">
        <v>268</v>
      </c>
      <c r="H49" s="39">
        <v>33.9</v>
      </c>
      <c r="I49" s="39">
        <v>0.6</v>
      </c>
      <c r="J49" s="39">
        <v>0.1</v>
      </c>
      <c r="K49" s="184">
        <v>8.5</v>
      </c>
      <c r="L49" s="21">
        <v>1.7</v>
      </c>
    </row>
    <row r="50" spans="1:12" ht="15.75" customHeight="1">
      <c r="A50" s="272" t="s">
        <v>129</v>
      </c>
      <c r="B50" s="239"/>
      <c r="C50" s="239"/>
      <c r="D50" s="239"/>
      <c r="E50" s="239"/>
      <c r="F50" s="239"/>
      <c r="G50" s="240"/>
      <c r="H50" s="73">
        <f>SUM(H44:H49)</f>
        <v>700.6</v>
      </c>
      <c r="I50" s="73">
        <f>SUM(I44:I49)</f>
        <v>29.6</v>
      </c>
      <c r="J50" s="73">
        <f>SUM(J44:J49)</f>
        <v>29.700000000000003</v>
      </c>
      <c r="K50" s="73">
        <f>SUM(K44:K49)</f>
        <v>79</v>
      </c>
      <c r="L50" s="73">
        <f>SUM(L44:L49)</f>
        <v>3</v>
      </c>
    </row>
    <row r="51" spans="1:12" ht="15.75" customHeight="1">
      <c r="A51" s="272" t="s">
        <v>130</v>
      </c>
      <c r="B51" s="239"/>
      <c r="C51" s="239"/>
      <c r="D51" s="239"/>
      <c r="E51" s="239"/>
      <c r="F51" s="239"/>
      <c r="G51" s="240"/>
      <c r="H51" s="74">
        <v>270</v>
      </c>
      <c r="I51" s="74">
        <v>4</v>
      </c>
      <c r="J51" s="74">
        <v>9</v>
      </c>
      <c r="K51" s="74">
        <v>43</v>
      </c>
      <c r="L51" s="21">
        <v>5</v>
      </c>
    </row>
    <row r="52" spans="1:12" ht="15.75" customHeight="1">
      <c r="A52" s="272" t="s">
        <v>131</v>
      </c>
      <c r="B52" s="239"/>
      <c r="C52" s="239"/>
      <c r="D52" s="239"/>
      <c r="E52" s="239"/>
      <c r="F52" s="239"/>
      <c r="G52" s="240"/>
      <c r="H52" s="75">
        <f t="shared" ref="H52:L52" si="26">(H50/H51)*100</f>
        <v>259.48148148148147</v>
      </c>
      <c r="I52" s="75">
        <f t="shared" si="26"/>
        <v>740</v>
      </c>
      <c r="J52" s="75">
        <f t="shared" si="26"/>
        <v>330</v>
      </c>
      <c r="K52" s="75">
        <f t="shared" si="26"/>
        <v>183.72093023255815</v>
      </c>
      <c r="L52" s="75">
        <f t="shared" si="26"/>
        <v>60</v>
      </c>
    </row>
    <row r="53" spans="1:12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</row>
    <row r="54" spans="1:12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</row>
    <row r="55" spans="1:12" ht="15.75" customHeight="1">
      <c r="A55" s="61" t="s">
        <v>135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</row>
    <row r="56" spans="1:12" ht="15.75" customHeight="1">
      <c r="A56" s="63" t="s">
        <v>118</v>
      </c>
      <c r="B56" s="64" t="s">
        <v>119</v>
      </c>
      <c r="C56" s="63" t="s">
        <v>120</v>
      </c>
      <c r="D56" s="63" t="s">
        <v>121</v>
      </c>
      <c r="E56" s="67" t="s">
        <v>122</v>
      </c>
      <c r="F56" s="67" t="s">
        <v>123</v>
      </c>
      <c r="G56" s="67" t="s">
        <v>124</v>
      </c>
      <c r="H56" s="63" t="s">
        <v>125</v>
      </c>
      <c r="I56" s="63" t="s">
        <v>126</v>
      </c>
      <c r="J56" s="63" t="s">
        <v>127</v>
      </c>
      <c r="K56" s="63" t="s">
        <v>77</v>
      </c>
      <c r="L56" s="63" t="s">
        <v>128</v>
      </c>
    </row>
    <row r="57" spans="1:12" ht="15.75" customHeight="1">
      <c r="A57" s="2" t="s">
        <v>10</v>
      </c>
      <c r="B57" s="68">
        <v>100</v>
      </c>
      <c r="C57" s="69">
        <v>100</v>
      </c>
      <c r="D57" s="47">
        <f t="shared" ref="D57" si="27">B57%*C57</f>
        <v>100</v>
      </c>
      <c r="E57" s="47">
        <v>1</v>
      </c>
      <c r="F57" s="47">
        <f t="shared" ref="F57:F58" si="28">D57/E57</f>
        <v>100</v>
      </c>
      <c r="G57" s="21" t="s">
        <v>256</v>
      </c>
      <c r="H57" s="21">
        <v>290</v>
      </c>
      <c r="I57" s="21">
        <v>7</v>
      </c>
      <c r="J57" s="21">
        <v>10</v>
      </c>
      <c r="K57" s="21">
        <v>45</v>
      </c>
      <c r="L57" s="21">
        <v>0</v>
      </c>
    </row>
    <row r="58" spans="1:12" ht="15.75" customHeight="1">
      <c r="A58" s="186" t="s">
        <v>261</v>
      </c>
      <c r="B58" s="40">
        <v>87</v>
      </c>
      <c r="C58" s="187">
        <f>66.7*2</f>
        <v>133.4</v>
      </c>
      <c r="D58" s="175">
        <f t="shared" ref="D58" si="29">B58*C58%</f>
        <v>116.05800000000001</v>
      </c>
      <c r="E58" s="175">
        <v>1</v>
      </c>
      <c r="F58" s="188">
        <f t="shared" si="28"/>
        <v>116.05800000000001</v>
      </c>
      <c r="G58" s="172" t="s">
        <v>263</v>
      </c>
      <c r="H58" s="189">
        <v>179</v>
      </c>
      <c r="I58" s="189">
        <v>14.6</v>
      </c>
      <c r="J58" s="189">
        <v>12.3</v>
      </c>
      <c r="K58" s="189">
        <v>1.9</v>
      </c>
      <c r="L58" s="172">
        <v>0</v>
      </c>
    </row>
    <row r="59" spans="1:12" ht="15.75" customHeight="1">
      <c r="A59" s="2" t="s">
        <v>246</v>
      </c>
      <c r="B59" s="40">
        <v>100</v>
      </c>
      <c r="C59" s="169">
        <f>115*2</f>
        <v>230</v>
      </c>
      <c r="D59" s="39">
        <f>B59%*C59</f>
        <v>230</v>
      </c>
      <c r="E59" s="39">
        <v>1</v>
      </c>
      <c r="F59" s="170">
        <f>D59/E59</f>
        <v>230</v>
      </c>
      <c r="G59" s="40" t="s">
        <v>262</v>
      </c>
      <c r="H59" s="33">
        <v>140</v>
      </c>
      <c r="I59" s="33">
        <v>6</v>
      </c>
      <c r="J59" s="33">
        <v>7</v>
      </c>
      <c r="K59" s="33">
        <v>12</v>
      </c>
      <c r="L59" s="21">
        <v>0</v>
      </c>
    </row>
    <row r="60" spans="1:12" s="191" customFormat="1" ht="20.25" customHeight="1">
      <c r="A60" s="216" t="s">
        <v>98</v>
      </c>
      <c r="B60" s="68">
        <v>48</v>
      </c>
      <c r="C60" s="69">
        <v>85</v>
      </c>
      <c r="D60" s="47">
        <f t="shared" ref="D60" si="30">B60%*C60</f>
        <v>40.799999999999997</v>
      </c>
      <c r="E60" s="47">
        <v>1</v>
      </c>
      <c r="F60" s="47">
        <f t="shared" ref="F60" si="31">D60/E60</f>
        <v>40.799999999999997</v>
      </c>
      <c r="G60" s="21" t="s">
        <v>229</v>
      </c>
      <c r="H60" s="39">
        <v>32.700000000000003</v>
      </c>
      <c r="I60" s="39">
        <v>1</v>
      </c>
      <c r="J60" s="39">
        <v>0.2</v>
      </c>
      <c r="K60" s="190">
        <v>5.2</v>
      </c>
      <c r="L60" s="21">
        <v>0.6</v>
      </c>
    </row>
    <row r="61" spans="1:12" ht="15.75" customHeight="1">
      <c r="A61" s="2" t="s">
        <v>36</v>
      </c>
      <c r="B61" s="68">
        <v>72</v>
      </c>
      <c r="C61" s="69">
        <v>100</v>
      </c>
      <c r="D61" s="47">
        <f t="shared" ref="D61:D62" si="32">B61%*C61</f>
        <v>72</v>
      </c>
      <c r="E61" s="47">
        <v>1</v>
      </c>
      <c r="F61" s="47">
        <f t="shared" ref="F61:F62" si="33">D61/E61</f>
        <v>72</v>
      </c>
      <c r="G61" s="21" t="s">
        <v>251</v>
      </c>
      <c r="H61" s="39">
        <v>25</v>
      </c>
      <c r="I61" s="39">
        <v>0.4</v>
      </c>
      <c r="J61" s="39">
        <v>0.1</v>
      </c>
      <c r="K61" s="190">
        <v>6.4</v>
      </c>
      <c r="L61" s="21">
        <v>0.7</v>
      </c>
    </row>
    <row r="62" spans="1:12" s="191" customFormat="1" ht="15.75" customHeight="1">
      <c r="A62" s="2" t="s">
        <v>267</v>
      </c>
      <c r="B62" s="68">
        <v>79</v>
      </c>
      <c r="C62" s="69">
        <v>40</v>
      </c>
      <c r="D62" s="47">
        <f t="shared" si="32"/>
        <v>31.6</v>
      </c>
      <c r="E62" s="47">
        <v>1</v>
      </c>
      <c r="F62" s="47">
        <f t="shared" si="33"/>
        <v>31.6</v>
      </c>
      <c r="G62" s="21" t="s">
        <v>268</v>
      </c>
      <c r="H62" s="39">
        <v>33.9</v>
      </c>
      <c r="I62" s="39">
        <v>0.6</v>
      </c>
      <c r="J62" s="39">
        <v>0.1</v>
      </c>
      <c r="K62" s="190">
        <v>8.5</v>
      </c>
      <c r="L62" s="21">
        <v>1.7</v>
      </c>
    </row>
    <row r="63" spans="1:12" ht="15.75" customHeight="1">
      <c r="A63" s="2" t="s">
        <v>74</v>
      </c>
      <c r="B63" s="68">
        <v>79</v>
      </c>
      <c r="C63" s="69">
        <v>85</v>
      </c>
      <c r="D63" s="47">
        <f t="shared" ref="D63" si="34">B63%*C63</f>
        <v>67.150000000000006</v>
      </c>
      <c r="E63" s="47">
        <v>1</v>
      </c>
      <c r="F63" s="47">
        <f t="shared" ref="F63" si="35">D63/E63</f>
        <v>67.150000000000006</v>
      </c>
      <c r="G63" s="21" t="s">
        <v>264</v>
      </c>
      <c r="H63" s="39">
        <v>187.3</v>
      </c>
      <c r="I63" s="39">
        <v>2</v>
      </c>
      <c r="J63" s="39">
        <v>0.3</v>
      </c>
      <c r="K63" s="184">
        <v>49</v>
      </c>
      <c r="L63" s="21">
        <v>2.5</v>
      </c>
    </row>
    <row r="64" spans="1:12" ht="15.75" customHeight="1">
      <c r="A64" s="72" t="s">
        <v>129</v>
      </c>
      <c r="B64" s="88"/>
      <c r="C64" s="88"/>
      <c r="D64" s="88"/>
      <c r="E64" s="88"/>
      <c r="F64" s="88"/>
      <c r="G64" s="89"/>
      <c r="H64" s="73">
        <f>SUM(H57:H63)</f>
        <v>887.90000000000009</v>
      </c>
      <c r="I64" s="73">
        <f>SUM(I57:I63)</f>
        <v>31.6</v>
      </c>
      <c r="J64" s="73">
        <f>SUM(J57:J63)</f>
        <v>30.000000000000004</v>
      </c>
      <c r="K64" s="73">
        <f>SUM(K57:K63)</f>
        <v>128</v>
      </c>
      <c r="L64" s="73">
        <f>SUM(L57:L63)</f>
        <v>5.5</v>
      </c>
    </row>
    <row r="65" spans="1:12" ht="15.75" customHeight="1">
      <c r="A65" s="72" t="s">
        <v>133</v>
      </c>
      <c r="B65" s="88"/>
      <c r="C65" s="88"/>
      <c r="D65" s="88"/>
      <c r="E65" s="88"/>
      <c r="F65" s="88"/>
      <c r="G65" s="89"/>
      <c r="H65" s="74">
        <v>753</v>
      </c>
      <c r="I65" s="74">
        <v>22.1</v>
      </c>
      <c r="J65" s="74">
        <v>20.2</v>
      </c>
      <c r="K65" s="74">
        <v>118.5</v>
      </c>
      <c r="L65" s="21">
        <v>10</v>
      </c>
    </row>
    <row r="66" spans="1:12" ht="15.75" customHeight="1">
      <c r="A66" s="72" t="s">
        <v>131</v>
      </c>
      <c r="B66" s="88"/>
      <c r="C66" s="88"/>
      <c r="D66" s="88"/>
      <c r="E66" s="88"/>
      <c r="F66" s="88"/>
      <c r="G66" s="89"/>
      <c r="H66" s="75">
        <f t="shared" ref="H66:L66" si="36">(H64/H65)*100</f>
        <v>117.91500664010626</v>
      </c>
      <c r="I66" s="75">
        <f t="shared" si="36"/>
        <v>142.98642533936652</v>
      </c>
      <c r="J66" s="75">
        <f t="shared" si="36"/>
        <v>148.51485148514854</v>
      </c>
      <c r="K66" s="75">
        <f t="shared" si="36"/>
        <v>108.01687763713079</v>
      </c>
      <c r="L66" s="75">
        <f t="shared" si="36"/>
        <v>55.000000000000007</v>
      </c>
    </row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1">
    <mergeCell ref="A51:G51"/>
    <mergeCell ref="A52:G52"/>
    <mergeCell ref="A42:L42"/>
    <mergeCell ref="A15:B15"/>
    <mergeCell ref="L5:M5"/>
    <mergeCell ref="A50:G50"/>
    <mergeCell ref="A1:B2"/>
    <mergeCell ref="C1:D2"/>
    <mergeCell ref="E1:J2"/>
    <mergeCell ref="A3:B3"/>
    <mergeCell ref="C3:J14"/>
  </mergeCells>
  <pageMargins left="0.7" right="0.7" top="0.75" bottom="0.75" header="0" footer="0"/>
  <pageSetup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Z1011"/>
  <sheetViews>
    <sheetView tabSelected="1" topLeftCell="A51" zoomScale="90" zoomScaleNormal="90" workbookViewId="0">
      <selection activeCell="C57" sqref="C57"/>
    </sheetView>
  </sheetViews>
  <sheetFormatPr defaultColWidth="14.42578125" defaultRowHeight="15" customHeight="1"/>
  <cols>
    <col min="1" max="1" width="41.7109375" customWidth="1"/>
    <col min="2" max="2" width="21" customWidth="1"/>
    <col min="3" max="3" width="20.28515625" customWidth="1"/>
    <col min="4" max="4" width="13.42578125" customWidth="1"/>
    <col min="5" max="5" width="16.42578125" customWidth="1"/>
    <col min="6" max="6" width="18.85546875" customWidth="1"/>
    <col min="7" max="7" width="22.85546875" customWidth="1"/>
    <col min="8" max="8" width="7.5703125" customWidth="1"/>
    <col min="9" max="9" width="14.28515625" customWidth="1"/>
    <col min="10" max="10" width="19.7109375" customWidth="1"/>
    <col min="11" max="11" width="12.5703125" customWidth="1"/>
    <col min="12" max="12" width="17.42578125" customWidth="1"/>
    <col min="13" max="13" width="14.85546875" customWidth="1"/>
  </cols>
  <sheetData>
    <row r="1" spans="1:26" ht="15.75" customHeight="1">
      <c r="A1" s="255">
        <v>1</v>
      </c>
      <c r="B1" s="256"/>
      <c r="C1" s="258"/>
      <c r="D1" s="256"/>
      <c r="E1" s="261"/>
      <c r="F1" s="262"/>
      <c r="G1" s="262"/>
      <c r="H1" s="262"/>
      <c r="I1" s="262"/>
      <c r="J1" s="26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>
      <c r="A2" s="253"/>
      <c r="B2" s="257"/>
      <c r="C2" s="259"/>
      <c r="D2" s="260"/>
      <c r="E2" s="259"/>
      <c r="F2" s="273"/>
      <c r="G2" s="273"/>
      <c r="H2" s="273"/>
      <c r="I2" s="273"/>
      <c r="J2" s="27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>
      <c r="A3" s="266" t="s">
        <v>0</v>
      </c>
      <c r="B3" s="267"/>
      <c r="C3" s="275"/>
      <c r="D3" s="269"/>
      <c r="E3" s="269"/>
      <c r="F3" s="269"/>
      <c r="G3" s="269"/>
      <c r="H3" s="269"/>
      <c r="I3" s="269"/>
      <c r="J3" s="25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>
      <c r="A4" s="78" t="s">
        <v>5</v>
      </c>
      <c r="B4" s="79" t="s">
        <v>6</v>
      </c>
      <c r="C4" s="252"/>
      <c r="D4" s="270"/>
      <c r="E4" s="270"/>
      <c r="F4" s="270"/>
      <c r="G4" s="270"/>
      <c r="H4" s="270"/>
      <c r="I4" s="270"/>
      <c r="J4" s="271"/>
      <c r="K4" s="6"/>
      <c r="L4" s="241" t="s">
        <v>63</v>
      </c>
      <c r="M4" s="240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>
      <c r="A5" s="216" t="s">
        <v>270</v>
      </c>
      <c r="B5" s="216" t="s">
        <v>270</v>
      </c>
      <c r="C5" s="252"/>
      <c r="D5" s="270"/>
      <c r="E5" s="270"/>
      <c r="F5" s="270"/>
      <c r="G5" s="270"/>
      <c r="H5" s="270"/>
      <c r="I5" s="270"/>
      <c r="J5" s="271"/>
      <c r="K5" s="6"/>
      <c r="L5" s="9" t="s">
        <v>64</v>
      </c>
      <c r="M5" s="9">
        <v>1043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>
      <c r="A6" s="216" t="s">
        <v>271</v>
      </c>
      <c r="B6" s="216" t="s">
        <v>271</v>
      </c>
      <c r="C6" s="252"/>
      <c r="D6" s="270"/>
      <c r="E6" s="270"/>
      <c r="F6" s="270"/>
      <c r="G6" s="270"/>
      <c r="H6" s="270"/>
      <c r="I6" s="270"/>
      <c r="J6" s="271"/>
      <c r="K6" s="6"/>
      <c r="L6" s="9" t="s">
        <v>67</v>
      </c>
      <c r="M6" s="9">
        <f>1070+253+1</f>
        <v>1324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>
      <c r="A7" s="216" t="s">
        <v>139</v>
      </c>
      <c r="B7" s="216" t="s">
        <v>139</v>
      </c>
      <c r="C7" s="252"/>
      <c r="D7" s="270"/>
      <c r="E7" s="270"/>
      <c r="F7" s="270"/>
      <c r="G7" s="270"/>
      <c r="H7" s="270"/>
      <c r="I7" s="270"/>
      <c r="J7" s="271"/>
      <c r="K7" s="6"/>
      <c r="L7" s="9" t="s">
        <v>65</v>
      </c>
      <c r="M7" s="9">
        <v>204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>
      <c r="A8" s="2"/>
      <c r="B8" s="216" t="s">
        <v>272</v>
      </c>
      <c r="C8" s="252"/>
      <c r="D8" s="270"/>
      <c r="E8" s="270"/>
      <c r="F8" s="270"/>
      <c r="G8" s="270"/>
      <c r="H8" s="270"/>
      <c r="I8" s="270"/>
      <c r="J8" s="271"/>
      <c r="K8" s="6"/>
      <c r="L8" s="9" t="s">
        <v>66</v>
      </c>
      <c r="M8" s="9">
        <f>297+16+1</f>
        <v>314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>
      <c r="A9" s="219"/>
      <c r="B9" s="219"/>
      <c r="C9" s="252"/>
      <c r="D9" s="270"/>
      <c r="E9" s="270"/>
      <c r="F9" s="270"/>
      <c r="G9" s="270"/>
      <c r="H9" s="270"/>
      <c r="I9" s="270"/>
      <c r="J9" s="271"/>
      <c r="K9" s="6"/>
      <c r="L9" s="9" t="s">
        <v>70</v>
      </c>
      <c r="M9" s="9">
        <f>M8+M7</f>
        <v>518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>
      <c r="A10" s="182"/>
      <c r="B10" s="179"/>
      <c r="C10" s="252"/>
      <c r="D10" s="270"/>
      <c r="E10" s="270"/>
      <c r="F10" s="270"/>
      <c r="G10" s="270"/>
      <c r="H10" s="270"/>
      <c r="I10" s="270"/>
      <c r="J10" s="271"/>
      <c r="K10" s="6"/>
      <c r="L10" s="9" t="s">
        <v>71</v>
      </c>
      <c r="M10" s="9">
        <f>M7+M5</f>
        <v>1247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>
      <c r="A11" s="3"/>
      <c r="B11" s="3"/>
      <c r="C11" s="252"/>
      <c r="D11" s="270"/>
      <c r="E11" s="270"/>
      <c r="F11" s="270"/>
      <c r="G11" s="270"/>
      <c r="H11" s="270"/>
      <c r="I11" s="270"/>
      <c r="J11" s="271"/>
      <c r="K11" s="6"/>
      <c r="L11" s="9" t="s">
        <v>72</v>
      </c>
      <c r="M11" s="9">
        <f>M6+M8</f>
        <v>1638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>
      <c r="A12" s="3"/>
      <c r="B12" s="3"/>
      <c r="C12" s="252"/>
      <c r="D12" s="270"/>
      <c r="E12" s="270"/>
      <c r="F12" s="270"/>
      <c r="G12" s="270"/>
      <c r="H12" s="270"/>
      <c r="I12" s="270"/>
      <c r="J12" s="271"/>
      <c r="K12" s="6"/>
      <c r="L12" s="11" t="s">
        <v>73</v>
      </c>
      <c r="M12" s="11">
        <f>SUM(M5:M8)</f>
        <v>2885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>
      <c r="A13" s="3"/>
      <c r="B13" s="3"/>
      <c r="C13" s="252"/>
      <c r="D13" s="270"/>
      <c r="E13" s="270"/>
      <c r="F13" s="270"/>
      <c r="G13" s="270"/>
      <c r="H13" s="270"/>
      <c r="I13" s="270"/>
      <c r="J13" s="27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>
      <c r="A14" s="3"/>
      <c r="B14" s="3"/>
      <c r="C14" s="253"/>
      <c r="D14" s="264"/>
      <c r="E14" s="264"/>
      <c r="F14" s="264"/>
      <c r="G14" s="264"/>
      <c r="H14" s="264"/>
      <c r="I14" s="264"/>
      <c r="J14" s="25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>
      <c r="A15" s="276" t="s">
        <v>77</v>
      </c>
      <c r="B15" s="277"/>
      <c r="C15" s="17" t="s">
        <v>78</v>
      </c>
      <c r="D15" s="18" t="s">
        <v>79</v>
      </c>
      <c r="E15" s="17" t="s">
        <v>80</v>
      </c>
      <c r="F15" s="17" t="s">
        <v>81</v>
      </c>
      <c r="G15" s="19" t="s">
        <v>82</v>
      </c>
      <c r="H15" s="17" t="s">
        <v>83</v>
      </c>
      <c r="I15" s="17" t="s">
        <v>84</v>
      </c>
      <c r="J15" s="17" t="s">
        <v>85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>
      <c r="A16" s="21"/>
      <c r="B16" s="22" t="s">
        <v>210</v>
      </c>
      <c r="C16" s="23">
        <v>1</v>
      </c>
      <c r="D16" s="47">
        <v>2367</v>
      </c>
      <c r="E16" s="25">
        <f>C16*D16</f>
        <v>2367</v>
      </c>
      <c r="F16" s="25">
        <f>(E16+(E16*3%))</f>
        <v>2438.0100000000002</v>
      </c>
      <c r="G16" s="33">
        <f>F16</f>
        <v>2438.0100000000002</v>
      </c>
      <c r="H16" s="28" t="s">
        <v>95</v>
      </c>
      <c r="I16" s="111">
        <v>2200</v>
      </c>
      <c r="J16" s="112">
        <f>G16*I16</f>
        <v>5363622.0000000009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>
      <c r="A17" s="29" t="s">
        <v>87</v>
      </c>
      <c r="B17" s="30"/>
      <c r="C17" s="30"/>
      <c r="D17" s="30"/>
      <c r="E17" s="30"/>
      <c r="F17" s="30"/>
      <c r="G17" s="30"/>
      <c r="H17" s="116"/>
      <c r="I17" s="114"/>
      <c r="J17" s="112">
        <f t="shared" ref="J17:J24" si="0">G17*I17</f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>
      <c r="A18" s="21" t="s">
        <v>88</v>
      </c>
      <c r="B18" s="22" t="s">
        <v>89</v>
      </c>
      <c r="C18" s="31">
        <f>1000/12*2</f>
        <v>166.66666666666666</v>
      </c>
      <c r="D18" s="9">
        <v>1043</v>
      </c>
      <c r="E18" s="32">
        <f t="shared" ref="E18:E19" si="1">C18*D18</f>
        <v>173833.33333333331</v>
      </c>
      <c r="F18" s="25">
        <f t="shared" ref="F18:F19" si="2">(E18+(E18*4%))</f>
        <v>180786.66666666666</v>
      </c>
      <c r="G18" s="33">
        <f t="shared" ref="G18:G19" si="3">+F18/1000</f>
        <v>180.78666666666666</v>
      </c>
      <c r="H18" s="28" t="s">
        <v>86</v>
      </c>
      <c r="I18" s="111">
        <v>40000</v>
      </c>
      <c r="J18" s="112">
        <f t="shared" si="0"/>
        <v>7231466.666666666</v>
      </c>
      <c r="K18" s="35">
        <f>G18+G19</f>
        <v>456.17866666666669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21" t="s">
        <v>90</v>
      </c>
      <c r="B19" s="22" t="s">
        <v>91</v>
      </c>
      <c r="C19" s="31">
        <f>1000/10*2</f>
        <v>200</v>
      </c>
      <c r="D19" s="9">
        <v>1324</v>
      </c>
      <c r="E19" s="32">
        <f t="shared" si="1"/>
        <v>264800</v>
      </c>
      <c r="F19" s="25">
        <f t="shared" si="2"/>
        <v>275392</v>
      </c>
      <c r="G19" s="33">
        <f t="shared" si="3"/>
        <v>275.392</v>
      </c>
      <c r="H19" s="28" t="s">
        <v>86</v>
      </c>
      <c r="I19" s="111">
        <v>40000</v>
      </c>
      <c r="J19" s="112">
        <f t="shared" si="0"/>
        <v>11015680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36" t="s">
        <v>92</v>
      </c>
      <c r="B20" s="37"/>
      <c r="C20" s="37"/>
      <c r="D20" s="37"/>
      <c r="E20" s="37"/>
      <c r="F20" s="37"/>
      <c r="G20" s="37"/>
      <c r="H20" s="117"/>
      <c r="I20" s="114"/>
      <c r="J20" s="112">
        <f t="shared" si="0"/>
        <v>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41" t="s">
        <v>96</v>
      </c>
      <c r="B21" s="42"/>
      <c r="C21" s="42"/>
      <c r="D21" s="42"/>
      <c r="E21" s="42"/>
      <c r="F21" s="42"/>
      <c r="G21" s="42"/>
      <c r="H21" s="107"/>
      <c r="I21" s="114"/>
      <c r="J21" s="112">
        <f t="shared" si="0"/>
        <v>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44" t="s">
        <v>97</v>
      </c>
      <c r="B22" s="80"/>
      <c r="C22" s="45"/>
      <c r="D22" s="45"/>
      <c r="E22" s="45"/>
      <c r="F22" s="45"/>
      <c r="G22" s="45"/>
      <c r="H22" s="108"/>
      <c r="I22" s="114"/>
      <c r="J22" s="112">
        <f t="shared" si="0"/>
        <v>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81"/>
      <c r="B23" s="218" t="s">
        <v>139</v>
      </c>
      <c r="C23" s="99">
        <v>1</v>
      </c>
      <c r="D23" s="24">
        <v>2367</v>
      </c>
      <c r="E23" s="25">
        <f>D23*C23</f>
        <v>2367</v>
      </c>
      <c r="F23" s="25">
        <f>(E23+(E23*3%))</f>
        <v>2438.0100000000002</v>
      </c>
      <c r="G23" s="33">
        <f>F23</f>
        <v>2438.0100000000002</v>
      </c>
      <c r="H23" s="28" t="s">
        <v>86</v>
      </c>
      <c r="I23" s="111">
        <v>2500</v>
      </c>
      <c r="J23" s="112">
        <f t="shared" si="0"/>
        <v>6095025.0000000009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81"/>
      <c r="B24" s="218" t="s">
        <v>269</v>
      </c>
      <c r="C24" s="99">
        <v>66</v>
      </c>
      <c r="D24" s="47">
        <v>1324</v>
      </c>
      <c r="E24" s="25">
        <f t="shared" ref="E24" si="4">C24*D24</f>
        <v>87384</v>
      </c>
      <c r="F24" s="25">
        <f t="shared" ref="F24" si="5">(E24+(E24*3%))</f>
        <v>90005.52</v>
      </c>
      <c r="G24" s="33">
        <f>+F24/1000</f>
        <v>90.005520000000004</v>
      </c>
      <c r="H24" s="28" t="s">
        <v>86</v>
      </c>
      <c r="I24" s="111">
        <v>40000</v>
      </c>
      <c r="J24" s="112">
        <f t="shared" si="0"/>
        <v>3600220.8000000003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48" t="s">
        <v>99</v>
      </c>
      <c r="B25" s="83"/>
      <c r="C25" s="49"/>
      <c r="D25" s="49"/>
      <c r="E25" s="49"/>
      <c r="F25" s="49"/>
      <c r="G25" s="49"/>
      <c r="H25" s="109"/>
      <c r="I25" s="114"/>
      <c r="J25" s="11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21"/>
      <c r="B26" s="26" t="s">
        <v>100</v>
      </c>
      <c r="C26" s="50">
        <v>1</v>
      </c>
      <c r="D26" s="24">
        <v>2367</v>
      </c>
      <c r="E26" s="25">
        <f t="shared" ref="E26:E42" si="6">C26*D26</f>
        <v>2367</v>
      </c>
      <c r="F26" s="25">
        <f t="shared" ref="F26:F42" si="7">(E26+(E26*3%))</f>
        <v>2438.0100000000002</v>
      </c>
      <c r="G26" s="33">
        <f t="shared" ref="G26:G38" si="8">+F26/1000</f>
        <v>2.4380100000000002</v>
      </c>
      <c r="H26" s="28" t="s">
        <v>86</v>
      </c>
      <c r="I26" s="111">
        <v>15000</v>
      </c>
      <c r="J26" s="112">
        <f>K26*I26</f>
        <v>36570.15</v>
      </c>
      <c r="K26" s="121">
        <f>F26/1000</f>
        <v>2.4380100000000002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26"/>
      <c r="B27" s="26" t="s">
        <v>101</v>
      </c>
      <c r="C27" s="50">
        <v>1</v>
      </c>
      <c r="D27" s="24">
        <v>2367</v>
      </c>
      <c r="E27" s="25">
        <f t="shared" si="6"/>
        <v>2367</v>
      </c>
      <c r="F27" s="25">
        <f t="shared" si="7"/>
        <v>2438.0100000000002</v>
      </c>
      <c r="G27" s="33">
        <f t="shared" si="8"/>
        <v>2.4380100000000002</v>
      </c>
      <c r="H27" s="28" t="s">
        <v>86</v>
      </c>
      <c r="I27" s="111">
        <v>27000</v>
      </c>
      <c r="J27" s="112">
        <f t="shared" ref="J27:J39" si="9">K27*I27</f>
        <v>65826.27</v>
      </c>
      <c r="K27" s="121">
        <f t="shared" ref="K27:K39" si="10">F27/1000</f>
        <v>2.4380100000000002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26"/>
      <c r="B28" s="26" t="s">
        <v>102</v>
      </c>
      <c r="C28" s="50">
        <v>0.5</v>
      </c>
      <c r="D28" s="24">
        <v>2367</v>
      </c>
      <c r="E28" s="25">
        <f t="shared" si="6"/>
        <v>1183.5</v>
      </c>
      <c r="F28" s="25">
        <f t="shared" si="7"/>
        <v>1219.0050000000001</v>
      </c>
      <c r="G28" s="33">
        <f t="shared" si="8"/>
        <v>1.2190050000000001</v>
      </c>
      <c r="H28" s="28" t="s">
        <v>86</v>
      </c>
      <c r="I28" s="111">
        <v>50000</v>
      </c>
      <c r="J28" s="112">
        <f t="shared" si="9"/>
        <v>60950.250000000007</v>
      </c>
      <c r="K28" s="121">
        <f t="shared" si="10"/>
        <v>1.2190050000000001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26"/>
      <c r="B29" s="26" t="s">
        <v>103</v>
      </c>
      <c r="C29" s="50">
        <v>1.5</v>
      </c>
      <c r="D29" s="24">
        <v>2367</v>
      </c>
      <c r="E29" s="25">
        <f t="shared" si="6"/>
        <v>3550.5</v>
      </c>
      <c r="F29" s="25">
        <f t="shared" si="7"/>
        <v>3657.0149999999999</v>
      </c>
      <c r="G29" s="33">
        <f t="shared" si="8"/>
        <v>3.6570149999999999</v>
      </c>
      <c r="H29" s="28" t="s">
        <v>86</v>
      </c>
      <c r="I29" s="111">
        <v>45000</v>
      </c>
      <c r="J29" s="112">
        <f t="shared" si="9"/>
        <v>164565.67499999999</v>
      </c>
      <c r="K29" s="121">
        <f t="shared" si="10"/>
        <v>3.6570149999999999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26"/>
      <c r="B30" s="26" t="s">
        <v>104</v>
      </c>
      <c r="C30" s="50">
        <v>1.5</v>
      </c>
      <c r="D30" s="24">
        <v>2367</v>
      </c>
      <c r="E30" s="25">
        <f t="shared" si="6"/>
        <v>3550.5</v>
      </c>
      <c r="F30" s="25">
        <f t="shared" si="7"/>
        <v>3657.0149999999999</v>
      </c>
      <c r="G30" s="33">
        <f t="shared" si="8"/>
        <v>3.6570149999999999</v>
      </c>
      <c r="H30" s="28" t="s">
        <v>86</v>
      </c>
      <c r="I30" s="111">
        <v>43000</v>
      </c>
      <c r="J30" s="112">
        <f t="shared" si="9"/>
        <v>157251.64499999999</v>
      </c>
      <c r="K30" s="121">
        <f t="shared" si="10"/>
        <v>3.6570149999999999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26"/>
      <c r="B31" s="26" t="s">
        <v>105</v>
      </c>
      <c r="C31" s="50">
        <v>0.5</v>
      </c>
      <c r="D31" s="24">
        <v>2367</v>
      </c>
      <c r="E31" s="25">
        <f t="shared" si="6"/>
        <v>1183.5</v>
      </c>
      <c r="F31" s="25">
        <f t="shared" si="7"/>
        <v>1219.0050000000001</v>
      </c>
      <c r="G31" s="33">
        <f t="shared" si="8"/>
        <v>1.2190050000000001</v>
      </c>
      <c r="H31" s="28" t="s">
        <v>86</v>
      </c>
      <c r="I31" s="111">
        <v>35000</v>
      </c>
      <c r="J31" s="112">
        <f t="shared" si="9"/>
        <v>42665.175000000003</v>
      </c>
      <c r="K31" s="121">
        <f t="shared" si="10"/>
        <v>1.2190050000000001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26"/>
      <c r="B32" s="26" t="s">
        <v>106</v>
      </c>
      <c r="C32" s="50">
        <v>3</v>
      </c>
      <c r="D32" s="24">
        <v>2367</v>
      </c>
      <c r="E32" s="25">
        <f t="shared" si="6"/>
        <v>7101</v>
      </c>
      <c r="F32" s="25">
        <f t="shared" si="7"/>
        <v>7314.03</v>
      </c>
      <c r="G32" s="33">
        <f t="shared" si="8"/>
        <v>7.3140299999999998</v>
      </c>
      <c r="H32" s="28" t="s">
        <v>86</v>
      </c>
      <c r="I32" s="111">
        <v>13000</v>
      </c>
      <c r="J32" s="112">
        <f t="shared" si="9"/>
        <v>95082.39</v>
      </c>
      <c r="K32" s="121">
        <f t="shared" si="10"/>
        <v>7.3140299999999998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26"/>
      <c r="B33" s="26" t="s">
        <v>107</v>
      </c>
      <c r="C33" s="50">
        <v>1</v>
      </c>
      <c r="D33" s="24">
        <v>2367</v>
      </c>
      <c r="E33" s="25">
        <f t="shared" si="6"/>
        <v>2367</v>
      </c>
      <c r="F33" s="25">
        <f t="shared" si="7"/>
        <v>2438.0100000000002</v>
      </c>
      <c r="G33" s="33">
        <f t="shared" si="8"/>
        <v>2.4380100000000002</v>
      </c>
      <c r="H33" s="28" t="s">
        <v>86</v>
      </c>
      <c r="I33" s="111">
        <v>102000</v>
      </c>
      <c r="J33" s="112">
        <f t="shared" si="9"/>
        <v>248677.02000000002</v>
      </c>
      <c r="K33" s="121">
        <f t="shared" si="10"/>
        <v>2.4380100000000002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26"/>
      <c r="B34" s="26" t="s">
        <v>108</v>
      </c>
      <c r="C34" s="50">
        <v>3</v>
      </c>
      <c r="D34" s="24">
        <v>2367</v>
      </c>
      <c r="E34" s="25">
        <f t="shared" si="6"/>
        <v>7101</v>
      </c>
      <c r="F34" s="25">
        <f t="shared" si="7"/>
        <v>7314.03</v>
      </c>
      <c r="G34" s="33">
        <f t="shared" si="8"/>
        <v>7.3140299999999998</v>
      </c>
      <c r="H34" s="28" t="s">
        <v>86</v>
      </c>
      <c r="I34" s="111">
        <v>19000</v>
      </c>
      <c r="J34" s="112">
        <f t="shared" si="9"/>
        <v>138966.57</v>
      </c>
      <c r="K34" s="121">
        <f t="shared" si="10"/>
        <v>7.3140299999999998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26"/>
      <c r="B35" s="26" t="s">
        <v>109</v>
      </c>
      <c r="C35" s="50">
        <v>1</v>
      </c>
      <c r="D35" s="24">
        <v>2367</v>
      </c>
      <c r="E35" s="25">
        <f t="shared" si="6"/>
        <v>2367</v>
      </c>
      <c r="F35" s="25">
        <f t="shared" si="7"/>
        <v>2438.0100000000002</v>
      </c>
      <c r="G35" s="33">
        <f t="shared" si="8"/>
        <v>2.4380100000000002</v>
      </c>
      <c r="H35" s="28" t="s">
        <v>86</v>
      </c>
      <c r="I35" s="111">
        <v>53000</v>
      </c>
      <c r="J35" s="112">
        <f t="shared" si="9"/>
        <v>129214.53000000001</v>
      </c>
      <c r="K35" s="121">
        <f t="shared" si="10"/>
        <v>2.4380100000000002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86"/>
      <c r="B36" s="26" t="s">
        <v>110</v>
      </c>
      <c r="C36" s="50">
        <v>20</v>
      </c>
      <c r="D36" s="24">
        <v>2367</v>
      </c>
      <c r="E36" s="25">
        <f t="shared" si="6"/>
        <v>47340</v>
      </c>
      <c r="F36" s="25">
        <f t="shared" si="7"/>
        <v>48760.2</v>
      </c>
      <c r="G36" s="33">
        <f t="shared" si="8"/>
        <v>48.760199999999998</v>
      </c>
      <c r="H36" s="28" t="s">
        <v>111</v>
      </c>
      <c r="I36" s="111">
        <v>19500</v>
      </c>
      <c r="J36" s="112">
        <f t="shared" si="9"/>
        <v>950823.89999999991</v>
      </c>
      <c r="K36" s="121">
        <f t="shared" si="10"/>
        <v>48.760199999999998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86"/>
      <c r="B37" s="26" t="s">
        <v>112</v>
      </c>
      <c r="C37" s="21">
        <v>0.5</v>
      </c>
      <c r="D37" s="24">
        <v>2367</v>
      </c>
      <c r="E37" s="25">
        <f t="shared" si="6"/>
        <v>1183.5</v>
      </c>
      <c r="F37" s="25">
        <f t="shared" si="7"/>
        <v>1219.0050000000001</v>
      </c>
      <c r="G37" s="33">
        <f t="shared" si="8"/>
        <v>1.2190050000000001</v>
      </c>
      <c r="H37" s="28" t="s">
        <v>86</v>
      </c>
      <c r="I37" s="111">
        <v>16000</v>
      </c>
      <c r="J37" s="112">
        <f t="shared" si="9"/>
        <v>19504.080000000002</v>
      </c>
      <c r="K37" s="121">
        <f t="shared" si="10"/>
        <v>1.2190050000000001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26"/>
      <c r="B38" s="26" t="s">
        <v>113</v>
      </c>
      <c r="C38" s="21">
        <v>0.5</v>
      </c>
      <c r="D38" s="24">
        <v>2367</v>
      </c>
      <c r="E38" s="25">
        <f t="shared" si="6"/>
        <v>1183.5</v>
      </c>
      <c r="F38" s="25">
        <f t="shared" si="7"/>
        <v>1219.0050000000001</v>
      </c>
      <c r="G38" s="33">
        <f t="shared" si="8"/>
        <v>1.2190050000000001</v>
      </c>
      <c r="H38" s="28" t="s">
        <v>86</v>
      </c>
      <c r="I38" s="111">
        <v>17000</v>
      </c>
      <c r="J38" s="112">
        <f t="shared" si="9"/>
        <v>20723.085000000003</v>
      </c>
      <c r="K38" s="121">
        <f t="shared" si="10"/>
        <v>1.2190050000000001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26"/>
      <c r="B39" s="51" t="s">
        <v>114</v>
      </c>
      <c r="C39" s="52">
        <v>0.5</v>
      </c>
      <c r="D39" s="24">
        <v>2367</v>
      </c>
      <c r="E39" s="53">
        <f t="shared" si="6"/>
        <v>1183.5</v>
      </c>
      <c r="F39" s="53">
        <f t="shared" si="7"/>
        <v>1219.0050000000001</v>
      </c>
      <c r="G39" s="54">
        <f>F39/1000</f>
        <v>1.2190050000000001</v>
      </c>
      <c r="H39" s="56" t="s">
        <v>111</v>
      </c>
      <c r="I39" s="111">
        <v>59000</v>
      </c>
      <c r="J39" s="112">
        <f t="shared" si="9"/>
        <v>71921.295000000013</v>
      </c>
      <c r="K39" s="121">
        <f t="shared" si="10"/>
        <v>1.2190050000000001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51"/>
      <c r="B40" s="51" t="s">
        <v>173</v>
      </c>
      <c r="C40" s="52">
        <v>1</v>
      </c>
      <c r="D40" s="39">
        <v>2367</v>
      </c>
      <c r="E40" s="25">
        <f t="shared" si="6"/>
        <v>2367</v>
      </c>
      <c r="F40" s="25">
        <f t="shared" si="7"/>
        <v>2438.0100000000002</v>
      </c>
      <c r="G40" s="54">
        <f t="shared" ref="G40:G42" si="11">F40</f>
        <v>2438.0100000000002</v>
      </c>
      <c r="H40" s="56" t="s">
        <v>95</v>
      </c>
      <c r="I40" s="111"/>
      <c r="J40" s="112">
        <f>SUM(J16:J39)</f>
        <v>35508756.501666673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26"/>
      <c r="B41" s="26" t="s">
        <v>147</v>
      </c>
      <c r="C41" s="21">
        <v>1</v>
      </c>
      <c r="D41" s="39">
        <v>1324</v>
      </c>
      <c r="E41" s="25">
        <f t="shared" si="6"/>
        <v>1324</v>
      </c>
      <c r="F41" s="25">
        <f t="shared" si="7"/>
        <v>1363.72</v>
      </c>
      <c r="G41" s="54">
        <f t="shared" si="11"/>
        <v>1363.72</v>
      </c>
      <c r="H41" s="56" t="s">
        <v>95</v>
      </c>
      <c r="I41" s="26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26"/>
      <c r="B42" s="26" t="s">
        <v>174</v>
      </c>
      <c r="C42" s="21">
        <v>1</v>
      </c>
      <c r="D42" s="39">
        <v>2367</v>
      </c>
      <c r="E42" s="25">
        <f t="shared" si="6"/>
        <v>2367</v>
      </c>
      <c r="F42" s="25">
        <f t="shared" si="7"/>
        <v>2438.0100000000002</v>
      </c>
      <c r="G42" s="54">
        <f t="shared" si="11"/>
        <v>2438.0100000000002</v>
      </c>
      <c r="H42" s="56" t="s">
        <v>95</v>
      </c>
      <c r="I42" s="26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57"/>
      <c r="B43" s="57"/>
      <c r="C43" s="57"/>
      <c r="D43" s="57"/>
      <c r="E43" s="57"/>
      <c r="F43" s="57"/>
      <c r="G43" s="57"/>
      <c r="H43" s="60"/>
      <c r="I43" s="5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57"/>
      <c r="B44" s="57"/>
      <c r="C44" s="57"/>
      <c r="D44" s="57"/>
      <c r="E44" s="57"/>
      <c r="F44" s="57"/>
      <c r="G44" s="57"/>
      <c r="H44" s="60"/>
      <c r="I44" s="5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284" t="s">
        <v>117</v>
      </c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0.25" customHeight="1">
      <c r="A46" s="63" t="s">
        <v>118</v>
      </c>
      <c r="B46" s="64" t="s">
        <v>119</v>
      </c>
      <c r="C46" s="63" t="s">
        <v>120</v>
      </c>
      <c r="D46" s="65" t="s">
        <v>121</v>
      </c>
      <c r="E46" s="66" t="s">
        <v>122</v>
      </c>
      <c r="F46" s="66" t="s">
        <v>123</v>
      </c>
      <c r="G46" s="67" t="s">
        <v>124</v>
      </c>
      <c r="H46" s="63" t="s">
        <v>125</v>
      </c>
      <c r="I46" s="63" t="s">
        <v>126</v>
      </c>
      <c r="J46" s="63" t="s">
        <v>127</v>
      </c>
      <c r="K46" s="63" t="s">
        <v>77</v>
      </c>
      <c r="L46" s="63" t="s">
        <v>128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0.25" customHeight="1">
      <c r="A47" s="223" t="s">
        <v>270</v>
      </c>
      <c r="B47" s="224">
        <v>100</v>
      </c>
      <c r="C47" s="225">
        <v>51</v>
      </c>
      <c r="D47" s="163">
        <f>B47%*C47</f>
        <v>51</v>
      </c>
      <c r="E47" s="163">
        <v>1</v>
      </c>
      <c r="F47" s="163">
        <f>D47/E47</f>
        <v>51</v>
      </c>
      <c r="G47" s="226" t="s">
        <v>229</v>
      </c>
      <c r="H47" s="227">
        <v>145.30000000000001</v>
      </c>
      <c r="I47" s="227">
        <v>4</v>
      </c>
      <c r="J47" s="227">
        <v>1.4</v>
      </c>
      <c r="K47" s="227">
        <v>28.9</v>
      </c>
      <c r="L47" s="226">
        <v>1.3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0.25" customHeight="1">
      <c r="A48" s="163" t="s">
        <v>271</v>
      </c>
      <c r="B48" s="164">
        <v>58</v>
      </c>
      <c r="C48" s="163">
        <v>83</v>
      </c>
      <c r="D48" s="163">
        <f>B48%*C48</f>
        <v>48.139999999999993</v>
      </c>
      <c r="E48" s="163">
        <v>2.2000000000000002</v>
      </c>
      <c r="F48" s="163">
        <f>D48/E48</f>
        <v>21.881818181818176</v>
      </c>
      <c r="G48" s="164" t="s">
        <v>278</v>
      </c>
      <c r="H48" s="198">
        <v>62.3</v>
      </c>
      <c r="I48" s="198">
        <v>5.9</v>
      </c>
      <c r="J48" s="198">
        <v>4.0999999999999996</v>
      </c>
      <c r="K48" s="198">
        <v>0</v>
      </c>
      <c r="L48" s="198"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217" customFormat="1" ht="20.25" customHeight="1">
      <c r="A49" s="194" t="s">
        <v>139</v>
      </c>
      <c r="B49" s="230">
        <v>72</v>
      </c>
      <c r="C49" s="198">
        <v>85</v>
      </c>
      <c r="D49" s="231">
        <f t="shared" ref="D49:D58" si="12">B49%*C49</f>
        <v>61.199999999999996</v>
      </c>
      <c r="E49" s="231">
        <v>1</v>
      </c>
      <c r="F49" s="231">
        <f t="shared" ref="F49:F58" si="13">D49/E49</f>
        <v>61.199999999999996</v>
      </c>
      <c r="G49" s="198" t="s">
        <v>229</v>
      </c>
      <c r="H49" s="232">
        <v>28.8</v>
      </c>
      <c r="I49" s="232">
        <v>0.6</v>
      </c>
      <c r="J49" s="232">
        <v>0.1</v>
      </c>
      <c r="K49" s="232">
        <v>7.2</v>
      </c>
      <c r="L49" s="198">
        <v>1.5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217" customFormat="1" ht="20.25" customHeight="1">
      <c r="A50" s="220" t="s">
        <v>273</v>
      </c>
      <c r="B50" s="228">
        <v>100</v>
      </c>
      <c r="C50" s="229">
        <v>51</v>
      </c>
      <c r="D50" s="231">
        <f t="shared" si="12"/>
        <v>51</v>
      </c>
      <c r="E50" s="229">
        <v>1</v>
      </c>
      <c r="F50" s="231">
        <f t="shared" si="13"/>
        <v>51</v>
      </c>
      <c r="G50" s="228" t="s">
        <v>279</v>
      </c>
      <c r="H50" s="227">
        <v>145.30000000000001</v>
      </c>
      <c r="I50" s="227">
        <v>4</v>
      </c>
      <c r="J50" s="227">
        <v>1.4</v>
      </c>
      <c r="K50" s="227">
        <v>28.9</v>
      </c>
      <c r="L50" s="226">
        <v>1.3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217" customFormat="1" ht="20.25" customHeight="1">
      <c r="A51" s="2" t="s">
        <v>57</v>
      </c>
      <c r="B51" s="164">
        <v>100</v>
      </c>
      <c r="C51" s="163">
        <v>100</v>
      </c>
      <c r="D51" s="231">
        <f t="shared" si="12"/>
        <v>100</v>
      </c>
      <c r="E51" s="163">
        <v>1</v>
      </c>
      <c r="F51" s="231">
        <f t="shared" si="13"/>
        <v>100</v>
      </c>
      <c r="G51" s="164" t="s">
        <v>233</v>
      </c>
      <c r="H51" s="198">
        <v>40</v>
      </c>
      <c r="I51" s="198">
        <v>1</v>
      </c>
      <c r="J51" s="198">
        <v>0</v>
      </c>
      <c r="K51" s="198">
        <v>9</v>
      </c>
      <c r="L51" s="198">
        <v>3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217" customFormat="1" ht="20.25" customHeight="1">
      <c r="A52" s="2" t="s">
        <v>58</v>
      </c>
      <c r="B52" s="173">
        <v>87</v>
      </c>
      <c r="C52" s="236">
        <v>30</v>
      </c>
      <c r="D52" s="231">
        <f t="shared" si="12"/>
        <v>26.1</v>
      </c>
      <c r="E52" s="175">
        <v>1</v>
      </c>
      <c r="F52" s="176">
        <f t="shared" si="13"/>
        <v>26.1</v>
      </c>
      <c r="G52" s="237" t="s">
        <v>277</v>
      </c>
      <c r="H52" s="198">
        <v>48.3</v>
      </c>
      <c r="I52" s="198">
        <v>3.3</v>
      </c>
      <c r="J52" s="198">
        <v>3.6</v>
      </c>
      <c r="K52" s="198">
        <v>0.4</v>
      </c>
      <c r="L52" s="198"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217" customFormat="1" ht="20.25" customHeight="1">
      <c r="A53" s="234" t="s">
        <v>276</v>
      </c>
      <c r="B53" s="164">
        <v>58</v>
      </c>
      <c r="C53" s="163">
        <v>83</v>
      </c>
      <c r="D53" s="231">
        <f t="shared" si="12"/>
        <v>48.139999999999993</v>
      </c>
      <c r="E53" s="163">
        <v>2.2000000000000002</v>
      </c>
      <c r="F53" s="163">
        <f t="shared" si="13"/>
        <v>21.881818181818176</v>
      </c>
      <c r="G53" s="164" t="s">
        <v>278</v>
      </c>
      <c r="H53" s="198">
        <v>62.3</v>
      </c>
      <c r="I53" s="198">
        <v>5.9</v>
      </c>
      <c r="J53" s="198">
        <v>4.0999999999999996</v>
      </c>
      <c r="K53" s="198">
        <v>0</v>
      </c>
      <c r="L53" s="198"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217" customFormat="1" ht="20.25" customHeight="1">
      <c r="A54" s="234" t="s">
        <v>276</v>
      </c>
      <c r="B54" s="164">
        <v>58</v>
      </c>
      <c r="C54" s="163">
        <v>83</v>
      </c>
      <c r="D54" s="231">
        <f t="shared" si="12"/>
        <v>48.139999999999993</v>
      </c>
      <c r="E54" s="163">
        <v>2.2000000000000002</v>
      </c>
      <c r="F54" s="163">
        <f t="shared" si="13"/>
        <v>21.881818181818176</v>
      </c>
      <c r="G54" s="164" t="s">
        <v>278</v>
      </c>
      <c r="H54" s="198">
        <v>62.3</v>
      </c>
      <c r="I54" s="198">
        <v>5.9</v>
      </c>
      <c r="J54" s="198">
        <v>4.0999999999999996</v>
      </c>
      <c r="K54" s="198">
        <v>0</v>
      </c>
      <c r="L54" s="198"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217" customFormat="1" ht="20.25" customHeight="1">
      <c r="A55" s="233" t="s">
        <v>242</v>
      </c>
      <c r="B55" s="164">
        <v>100</v>
      </c>
      <c r="C55" s="163">
        <f>40*2</f>
        <v>80</v>
      </c>
      <c r="D55" s="231">
        <f t="shared" si="12"/>
        <v>80</v>
      </c>
      <c r="E55" s="163">
        <v>1.2</v>
      </c>
      <c r="F55" s="163">
        <f t="shared" si="13"/>
        <v>66.666666666666671</v>
      </c>
      <c r="G55" s="164" t="s">
        <v>280</v>
      </c>
      <c r="H55" s="198">
        <v>50.7</v>
      </c>
      <c r="I55" s="198">
        <v>5.4</v>
      </c>
      <c r="J55" s="198">
        <v>3.2</v>
      </c>
      <c r="K55" s="198">
        <v>1.3</v>
      </c>
      <c r="L55" s="198">
        <v>0.8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217" customFormat="1" ht="20.25" customHeight="1">
      <c r="A56" s="233" t="s">
        <v>283</v>
      </c>
      <c r="B56" s="164">
        <v>100</v>
      </c>
      <c r="C56" s="163">
        <v>865</v>
      </c>
      <c r="D56" s="231">
        <f t="shared" si="12"/>
        <v>865</v>
      </c>
      <c r="E56" s="163">
        <v>1</v>
      </c>
      <c r="F56" s="163">
        <f t="shared" si="13"/>
        <v>865</v>
      </c>
      <c r="G56" s="164" t="s">
        <v>284</v>
      </c>
      <c r="H56" s="198">
        <f>70*7</f>
        <v>490</v>
      </c>
      <c r="I56" s="198">
        <v>21</v>
      </c>
      <c r="J56" s="198">
        <f>3.5*3</f>
        <v>10.5</v>
      </c>
      <c r="K56" s="198">
        <f>6*7</f>
        <v>42</v>
      </c>
      <c r="L56" s="198">
        <v>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217" customFormat="1" ht="20.25" customHeight="1">
      <c r="A57" s="233" t="s">
        <v>240</v>
      </c>
      <c r="B57" s="164">
        <v>88</v>
      </c>
      <c r="C57" s="163">
        <v>180</v>
      </c>
      <c r="D57" s="231">
        <f t="shared" si="12"/>
        <v>158.4</v>
      </c>
      <c r="E57" s="163">
        <v>1</v>
      </c>
      <c r="F57" s="163">
        <f t="shared" si="13"/>
        <v>158.4</v>
      </c>
      <c r="G57" s="164" t="s">
        <v>279</v>
      </c>
      <c r="H57" s="198">
        <v>93.5</v>
      </c>
      <c r="I57" s="198">
        <v>0.3</v>
      </c>
      <c r="J57" s="198">
        <v>0.6</v>
      </c>
      <c r="K57" s="198">
        <v>24.2</v>
      </c>
      <c r="L57" s="198">
        <v>4.3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217" customFormat="1" ht="20.25" customHeight="1">
      <c r="A58" s="234" t="s">
        <v>148</v>
      </c>
      <c r="B58" s="68">
        <v>79</v>
      </c>
      <c r="C58" s="69">
        <v>50</v>
      </c>
      <c r="D58" s="47">
        <f t="shared" si="12"/>
        <v>39.5</v>
      </c>
      <c r="E58" s="47">
        <v>1</v>
      </c>
      <c r="F58" s="47">
        <f t="shared" si="13"/>
        <v>39.5</v>
      </c>
      <c r="G58" s="164" t="s">
        <v>252</v>
      </c>
      <c r="H58" s="198">
        <v>31.2</v>
      </c>
      <c r="I58" s="198">
        <v>0.5</v>
      </c>
      <c r="J58" s="198">
        <v>0.1</v>
      </c>
      <c r="K58" s="198">
        <v>8</v>
      </c>
      <c r="L58" s="198">
        <v>0.9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272" t="s">
        <v>129</v>
      </c>
      <c r="B59" s="239"/>
      <c r="C59" s="239"/>
      <c r="D59" s="239"/>
      <c r="E59" s="239"/>
      <c r="F59" s="239"/>
      <c r="G59" s="240"/>
      <c r="H59" s="73">
        <f>SUM(H47:H58)</f>
        <v>1260.0000000000002</v>
      </c>
      <c r="I59" s="73">
        <f>SUM(I47:I58)</f>
        <v>57.8</v>
      </c>
      <c r="J59" s="73">
        <f>SUM(J47:J58)</f>
        <v>33.200000000000003</v>
      </c>
      <c r="K59" s="73">
        <f>SUM(K47:K58)</f>
        <v>149.9</v>
      </c>
      <c r="L59" s="73">
        <f>SUM(L47:L58)</f>
        <v>13.1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272" t="s">
        <v>130</v>
      </c>
      <c r="B60" s="239"/>
      <c r="C60" s="239"/>
      <c r="D60" s="239"/>
      <c r="E60" s="239"/>
      <c r="F60" s="239"/>
      <c r="G60" s="240"/>
      <c r="H60" s="74">
        <v>330</v>
      </c>
      <c r="I60" s="74">
        <v>8</v>
      </c>
      <c r="J60" s="74">
        <v>11</v>
      </c>
      <c r="K60" s="74">
        <v>50</v>
      </c>
      <c r="L60" s="21">
        <v>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272" t="s">
        <v>131</v>
      </c>
      <c r="B61" s="239"/>
      <c r="C61" s="239"/>
      <c r="D61" s="239"/>
      <c r="E61" s="239"/>
      <c r="F61" s="239"/>
      <c r="G61" s="240"/>
      <c r="H61" s="75">
        <f t="shared" ref="H61:L61" si="14">(H59/H60)*100</f>
        <v>381.81818181818187</v>
      </c>
      <c r="I61" s="75">
        <f t="shared" si="14"/>
        <v>722.5</v>
      </c>
      <c r="J61" s="75">
        <f t="shared" si="14"/>
        <v>301.81818181818187</v>
      </c>
      <c r="K61" s="75">
        <f t="shared" si="14"/>
        <v>299.8</v>
      </c>
      <c r="L61" s="75">
        <f t="shared" si="14"/>
        <v>327.5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76"/>
      <c r="B62" s="76"/>
      <c r="C62" s="76"/>
      <c r="D62" s="76"/>
      <c r="E62" s="76"/>
      <c r="F62" s="76"/>
      <c r="G62" s="76"/>
      <c r="H62" s="76"/>
      <c r="I62" s="77"/>
      <c r="J62" s="77"/>
      <c r="K62" s="57"/>
      <c r="L62" s="5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284" t="s">
        <v>132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3" t="s">
        <v>118</v>
      </c>
      <c r="B65" s="64" t="s">
        <v>119</v>
      </c>
      <c r="C65" s="63" t="s">
        <v>120</v>
      </c>
      <c r="D65" s="63" t="s">
        <v>121</v>
      </c>
      <c r="E65" s="67" t="s">
        <v>122</v>
      </c>
      <c r="F65" s="67" t="s">
        <v>123</v>
      </c>
      <c r="G65" s="67" t="s">
        <v>124</v>
      </c>
      <c r="H65" s="63" t="s">
        <v>125</v>
      </c>
      <c r="I65" s="63" t="s">
        <v>126</v>
      </c>
      <c r="J65" s="63" t="s">
        <v>127</v>
      </c>
      <c r="K65" s="63" t="s">
        <v>77</v>
      </c>
      <c r="L65" s="63" t="s">
        <v>128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216" t="s">
        <v>270</v>
      </c>
      <c r="B66" s="224">
        <v>100</v>
      </c>
      <c r="C66" s="225">
        <v>51</v>
      </c>
      <c r="D66" s="163">
        <f>B66%*C66</f>
        <v>51</v>
      </c>
      <c r="E66" s="163">
        <v>1</v>
      </c>
      <c r="F66" s="163">
        <f>D66/E66</f>
        <v>51</v>
      </c>
      <c r="G66" s="226" t="s">
        <v>229</v>
      </c>
      <c r="H66" s="227">
        <v>145.30000000000001</v>
      </c>
      <c r="I66" s="227">
        <v>4</v>
      </c>
      <c r="J66" s="227">
        <v>1.4</v>
      </c>
      <c r="K66" s="227">
        <v>28.9</v>
      </c>
      <c r="L66" s="226">
        <v>1.3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163" t="s">
        <v>271</v>
      </c>
      <c r="B67" s="164">
        <v>58</v>
      </c>
      <c r="C67" s="163">
        <v>100</v>
      </c>
      <c r="D67" s="163">
        <f>B67%*C67</f>
        <v>57.999999999999993</v>
      </c>
      <c r="E67" s="163">
        <v>2.2000000000000002</v>
      </c>
      <c r="F67" s="163">
        <f>D67/E67</f>
        <v>26.36363636363636</v>
      </c>
      <c r="G67" s="164" t="s">
        <v>278</v>
      </c>
      <c r="H67" s="198">
        <v>75.099999999999994</v>
      </c>
      <c r="I67" s="198">
        <v>7.1</v>
      </c>
      <c r="J67" s="198">
        <v>5</v>
      </c>
      <c r="K67" s="198">
        <v>0</v>
      </c>
      <c r="L67" s="198">
        <v>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2" t="s">
        <v>36</v>
      </c>
      <c r="B68" s="230">
        <v>72</v>
      </c>
      <c r="C68" s="198">
        <v>85</v>
      </c>
      <c r="D68" s="231">
        <f t="shared" ref="D68:D76" si="15">B68%*C68</f>
        <v>61.199999999999996</v>
      </c>
      <c r="E68" s="231">
        <v>1</v>
      </c>
      <c r="F68" s="231">
        <f t="shared" ref="F68:F70" si="16">D68/E68</f>
        <v>61.199999999999996</v>
      </c>
      <c r="G68" s="198" t="s">
        <v>229</v>
      </c>
      <c r="H68" s="232">
        <v>28.8</v>
      </c>
      <c r="I68" s="232">
        <v>0.6</v>
      </c>
      <c r="J68" s="232">
        <v>0.1</v>
      </c>
      <c r="K68" s="232">
        <v>7.2</v>
      </c>
      <c r="L68" s="198">
        <v>1.5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217" customFormat="1" ht="15.75" customHeight="1">
      <c r="A69" s="2" t="s">
        <v>215</v>
      </c>
      <c r="B69" s="228">
        <v>100</v>
      </c>
      <c r="C69" s="229">
        <v>51</v>
      </c>
      <c r="D69" s="231">
        <f t="shared" si="15"/>
        <v>51</v>
      </c>
      <c r="E69" s="229">
        <v>1</v>
      </c>
      <c r="F69" s="231">
        <f t="shared" si="16"/>
        <v>51</v>
      </c>
      <c r="G69" s="228" t="s">
        <v>279</v>
      </c>
      <c r="H69" s="227">
        <v>145.30000000000001</v>
      </c>
      <c r="I69" s="227">
        <v>4</v>
      </c>
      <c r="J69" s="227">
        <v>1.4</v>
      </c>
      <c r="K69" s="227">
        <v>28.9</v>
      </c>
      <c r="L69" s="226">
        <v>1.3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217" customFormat="1" ht="15.75" customHeight="1">
      <c r="A70" s="2" t="s">
        <v>57</v>
      </c>
      <c r="B70" s="164">
        <v>100</v>
      </c>
      <c r="C70" s="163">
        <v>100</v>
      </c>
      <c r="D70" s="231">
        <f t="shared" si="15"/>
        <v>100</v>
      </c>
      <c r="E70" s="163">
        <v>1</v>
      </c>
      <c r="F70" s="231">
        <f t="shared" si="16"/>
        <v>100</v>
      </c>
      <c r="G70" s="164" t="s">
        <v>233</v>
      </c>
      <c r="H70" s="198">
        <v>40</v>
      </c>
      <c r="I70" s="198">
        <v>1</v>
      </c>
      <c r="J70" s="198">
        <v>0</v>
      </c>
      <c r="K70" s="198">
        <v>9</v>
      </c>
      <c r="L70" s="198">
        <v>3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s="217" customFormat="1" ht="15.75" customHeight="1">
      <c r="A71" s="2" t="s">
        <v>58</v>
      </c>
      <c r="B71" s="173">
        <v>87</v>
      </c>
      <c r="C71" s="236">
        <v>30</v>
      </c>
      <c r="D71" s="231">
        <f t="shared" si="15"/>
        <v>26.1</v>
      </c>
      <c r="E71" s="175">
        <v>1</v>
      </c>
      <c r="F71" s="176">
        <f t="shared" ref="F71:F76" si="17">D71/E71</f>
        <v>26.1</v>
      </c>
      <c r="G71" s="237" t="s">
        <v>277</v>
      </c>
      <c r="H71" s="198">
        <v>48.3</v>
      </c>
      <c r="I71" s="198">
        <v>3.3</v>
      </c>
      <c r="J71" s="198">
        <v>3.6</v>
      </c>
      <c r="K71" s="198">
        <v>0.4</v>
      </c>
      <c r="L71" s="198">
        <v>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217" customFormat="1" ht="15.75" customHeight="1">
      <c r="A72" s="235" t="s">
        <v>276</v>
      </c>
      <c r="B72" s="164">
        <v>58</v>
      </c>
      <c r="C72" s="163">
        <v>100</v>
      </c>
      <c r="D72" s="231">
        <f t="shared" si="15"/>
        <v>57.999999999999993</v>
      </c>
      <c r="E72" s="163">
        <v>2.2000000000000002</v>
      </c>
      <c r="F72" s="163">
        <f t="shared" si="17"/>
        <v>26.36363636363636</v>
      </c>
      <c r="G72" s="164" t="s">
        <v>278</v>
      </c>
      <c r="H72" s="198">
        <v>75.099999999999994</v>
      </c>
      <c r="I72" s="198">
        <v>7.1</v>
      </c>
      <c r="J72" s="198">
        <v>5</v>
      </c>
      <c r="K72" s="198">
        <v>0</v>
      </c>
      <c r="L72" s="198">
        <v>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217" customFormat="1" ht="15.75" customHeight="1">
      <c r="A73" s="234" t="s">
        <v>276</v>
      </c>
      <c r="B73" s="164">
        <v>58</v>
      </c>
      <c r="C73" s="163">
        <v>100</v>
      </c>
      <c r="D73" s="231">
        <f t="shared" si="15"/>
        <v>57.999999999999993</v>
      </c>
      <c r="E73" s="163">
        <v>2.2000000000000002</v>
      </c>
      <c r="F73" s="163">
        <f t="shared" si="17"/>
        <v>26.36363636363636</v>
      </c>
      <c r="G73" s="164" t="s">
        <v>278</v>
      </c>
      <c r="H73" s="198">
        <v>75.099999999999994</v>
      </c>
      <c r="I73" s="198">
        <v>7.1</v>
      </c>
      <c r="J73" s="198">
        <v>5</v>
      </c>
      <c r="K73" s="198">
        <v>0</v>
      </c>
      <c r="L73" s="198">
        <v>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217" customFormat="1" ht="15.75" customHeight="1">
      <c r="A74" s="233" t="s">
        <v>274</v>
      </c>
      <c r="B74" s="164">
        <v>100</v>
      </c>
      <c r="C74" s="163">
        <f>40*4</f>
        <v>160</v>
      </c>
      <c r="D74" s="231">
        <f t="shared" si="15"/>
        <v>160</v>
      </c>
      <c r="E74" s="163">
        <v>1.2</v>
      </c>
      <c r="F74" s="163">
        <f t="shared" si="17"/>
        <v>133.33333333333334</v>
      </c>
      <c r="G74" s="164" t="s">
        <v>282</v>
      </c>
      <c r="H74" s="198">
        <v>121.6</v>
      </c>
      <c r="I74" s="198">
        <v>13</v>
      </c>
      <c r="J74" s="198">
        <v>7.7</v>
      </c>
      <c r="K74" s="198">
        <v>3</v>
      </c>
      <c r="L74" s="198">
        <v>1.9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217" customFormat="1" ht="15.75" customHeight="1">
      <c r="A75" s="233" t="s">
        <v>283</v>
      </c>
      <c r="B75" s="164">
        <v>100</v>
      </c>
      <c r="C75" s="163">
        <v>865</v>
      </c>
      <c r="D75" s="231">
        <f t="shared" si="15"/>
        <v>865</v>
      </c>
      <c r="E75" s="163">
        <v>1</v>
      </c>
      <c r="F75" s="163">
        <f t="shared" si="17"/>
        <v>865</v>
      </c>
      <c r="G75" s="164" t="s">
        <v>284</v>
      </c>
      <c r="H75" s="198">
        <f>70*7</f>
        <v>490</v>
      </c>
      <c r="I75" s="198">
        <v>21</v>
      </c>
      <c r="J75" s="198">
        <f>3.5*3</f>
        <v>10.5</v>
      </c>
      <c r="K75" s="198">
        <f>6*7</f>
        <v>42</v>
      </c>
      <c r="L75" s="198">
        <v>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217" customFormat="1" ht="15.75" customHeight="1">
      <c r="A76" s="233" t="s">
        <v>240</v>
      </c>
      <c r="B76" s="164">
        <v>88</v>
      </c>
      <c r="C76" s="163">
        <v>180</v>
      </c>
      <c r="D76" s="231">
        <f t="shared" si="15"/>
        <v>158.4</v>
      </c>
      <c r="E76" s="163">
        <v>1</v>
      </c>
      <c r="F76" s="163">
        <f t="shared" si="17"/>
        <v>158.4</v>
      </c>
      <c r="G76" s="164" t="s">
        <v>279</v>
      </c>
      <c r="H76" s="198">
        <v>93.5</v>
      </c>
      <c r="I76" s="198">
        <v>0.3</v>
      </c>
      <c r="J76" s="198">
        <v>0.6</v>
      </c>
      <c r="K76" s="198">
        <v>24.2</v>
      </c>
      <c r="L76" s="198">
        <v>4.3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217" customFormat="1" ht="15.75" customHeight="1">
      <c r="A77" s="234" t="s">
        <v>148</v>
      </c>
      <c r="B77" s="68">
        <v>79</v>
      </c>
      <c r="C77" s="69">
        <v>50</v>
      </c>
      <c r="D77" s="47">
        <f t="shared" ref="D77" si="18">B77%*C77</f>
        <v>39.5</v>
      </c>
      <c r="E77" s="47">
        <v>1</v>
      </c>
      <c r="F77" s="47">
        <f t="shared" ref="F77" si="19">D77/E77</f>
        <v>39.5</v>
      </c>
      <c r="G77" s="164" t="s">
        <v>252</v>
      </c>
      <c r="H77" s="198">
        <v>31.2</v>
      </c>
      <c r="I77" s="198">
        <v>0.5</v>
      </c>
      <c r="J77" s="198">
        <v>0.1</v>
      </c>
      <c r="K77" s="198">
        <v>8</v>
      </c>
      <c r="L77" s="198">
        <v>0.9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217" customFormat="1" ht="15.75" customHeight="1">
      <c r="A78" s="234" t="s">
        <v>275</v>
      </c>
      <c r="B78" s="160">
        <v>79</v>
      </c>
      <c r="C78" s="161">
        <v>137</v>
      </c>
      <c r="D78" s="47">
        <f t="shared" ref="D78" si="20">B78%*C78</f>
        <v>108.23</v>
      </c>
      <c r="E78" s="47">
        <v>1</v>
      </c>
      <c r="F78" s="47">
        <f t="shared" ref="F78" si="21">D78/E78</f>
        <v>108.23</v>
      </c>
      <c r="G78" s="168" t="s">
        <v>281</v>
      </c>
      <c r="H78" s="222">
        <v>301</v>
      </c>
      <c r="I78" s="222">
        <v>3.2</v>
      </c>
      <c r="J78" s="222">
        <v>0.5</v>
      </c>
      <c r="K78" s="208">
        <v>79.599999999999994</v>
      </c>
      <c r="L78" s="221">
        <v>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272" t="s">
        <v>129</v>
      </c>
      <c r="B79" s="239"/>
      <c r="C79" s="239"/>
      <c r="D79" s="239"/>
      <c r="E79" s="239"/>
      <c r="F79" s="239"/>
      <c r="G79" s="240"/>
      <c r="H79" s="73">
        <f>SUM(H66:H78)</f>
        <v>1670.3</v>
      </c>
      <c r="I79" s="73">
        <f>SUM(I66:I78)</f>
        <v>72.2</v>
      </c>
      <c r="J79" s="73">
        <f>SUM(J66:J78)</f>
        <v>40.900000000000006</v>
      </c>
      <c r="K79" s="73">
        <f>SUM(K66:K78)</f>
        <v>231.2</v>
      </c>
      <c r="L79" s="73">
        <f>SUM(L66:L78)</f>
        <v>18.200000000000003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272" t="s">
        <v>133</v>
      </c>
      <c r="B80" s="239"/>
      <c r="C80" s="239"/>
      <c r="D80" s="239"/>
      <c r="E80" s="239"/>
      <c r="F80" s="239"/>
      <c r="G80" s="240"/>
      <c r="H80" s="74">
        <v>668</v>
      </c>
      <c r="I80" s="74">
        <v>20.3</v>
      </c>
      <c r="J80" s="74">
        <v>22.5</v>
      </c>
      <c r="K80" s="74">
        <v>97.5</v>
      </c>
      <c r="L80" s="21">
        <v>10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272" t="s">
        <v>131</v>
      </c>
      <c r="B81" s="239"/>
      <c r="C81" s="239"/>
      <c r="D81" s="239"/>
      <c r="E81" s="239"/>
      <c r="F81" s="239"/>
      <c r="G81" s="240"/>
      <c r="H81" s="75">
        <f t="shared" ref="H81:L81" si="22">(H79/H80)*100</f>
        <v>250.04491017964071</v>
      </c>
      <c r="I81" s="75">
        <f t="shared" si="22"/>
        <v>355.66502463054184</v>
      </c>
      <c r="J81" s="75">
        <f t="shared" si="22"/>
        <v>181.7777777777778</v>
      </c>
      <c r="K81" s="75">
        <f t="shared" si="22"/>
        <v>237.12820512820514</v>
      </c>
      <c r="L81" s="75">
        <f t="shared" si="22"/>
        <v>182.00000000000003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15">
    <mergeCell ref="A61:G61"/>
    <mergeCell ref="A64:L64"/>
    <mergeCell ref="A79:G79"/>
    <mergeCell ref="A80:G80"/>
    <mergeCell ref="A81:G81"/>
    <mergeCell ref="A15:B15"/>
    <mergeCell ref="L4:M4"/>
    <mergeCell ref="A45:L45"/>
    <mergeCell ref="A59:G59"/>
    <mergeCell ref="A60:G60"/>
    <mergeCell ref="A1:B2"/>
    <mergeCell ref="C1:D2"/>
    <mergeCell ref="E1:J2"/>
    <mergeCell ref="A3:B3"/>
    <mergeCell ref="C3:J14"/>
  </mergeCells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zoomScale="64" workbookViewId="0">
      <selection activeCell="B5" sqref="B5:B8"/>
    </sheetView>
  </sheetViews>
  <sheetFormatPr defaultColWidth="14.42578125" defaultRowHeight="15" customHeight="1"/>
  <cols>
    <col min="1" max="1" width="17.42578125" customWidth="1"/>
    <col min="2" max="2" width="19.42578125" customWidth="1"/>
    <col min="3" max="9" width="12.5703125" customWidth="1"/>
    <col min="10" max="10" width="16.28515625" customWidth="1"/>
    <col min="11" max="28" width="12.5703125" customWidth="1"/>
  </cols>
  <sheetData>
    <row r="1" spans="1:28" ht="15.75">
      <c r="A1" s="255" t="s">
        <v>175</v>
      </c>
      <c r="B1" s="256"/>
      <c r="C1" s="258">
        <v>46081</v>
      </c>
      <c r="D1" s="256"/>
      <c r="E1" s="261" t="s">
        <v>176</v>
      </c>
      <c r="F1" s="262"/>
      <c r="G1" s="262"/>
      <c r="H1" s="263"/>
      <c r="I1" s="100"/>
      <c r="J1" s="100"/>
      <c r="K1" s="57"/>
      <c r="L1" s="284" t="s">
        <v>117</v>
      </c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6"/>
      <c r="X1" s="6"/>
      <c r="Y1" s="6"/>
      <c r="Z1" s="6"/>
      <c r="AA1" s="6"/>
      <c r="AB1" s="6"/>
    </row>
    <row r="2" spans="1:28" ht="15.75">
      <c r="A2" s="253"/>
      <c r="B2" s="257"/>
      <c r="C2" s="259"/>
      <c r="D2" s="260"/>
      <c r="E2" s="259"/>
      <c r="F2" s="273"/>
      <c r="G2" s="273"/>
      <c r="H2" s="274"/>
      <c r="I2" s="100"/>
      <c r="J2" s="100"/>
      <c r="K2" s="57"/>
      <c r="L2" s="63" t="s">
        <v>118</v>
      </c>
      <c r="M2" s="64" t="s">
        <v>119</v>
      </c>
      <c r="N2" s="63" t="s">
        <v>120</v>
      </c>
      <c r="O2" s="63" t="s">
        <v>121</v>
      </c>
      <c r="P2" s="67" t="s">
        <v>122</v>
      </c>
      <c r="Q2" s="67" t="s">
        <v>123</v>
      </c>
      <c r="R2" s="67" t="s">
        <v>124</v>
      </c>
      <c r="S2" s="63" t="s">
        <v>125</v>
      </c>
      <c r="T2" s="63" t="s">
        <v>126</v>
      </c>
      <c r="U2" s="63" t="s">
        <v>127</v>
      </c>
      <c r="V2" s="63" t="s">
        <v>77</v>
      </c>
      <c r="W2" s="63" t="s">
        <v>128</v>
      </c>
      <c r="X2" s="6"/>
      <c r="Y2" s="6"/>
      <c r="Z2" s="6"/>
      <c r="AA2" s="6"/>
      <c r="AB2" s="6"/>
    </row>
    <row r="3" spans="1:28" ht="15.75">
      <c r="A3" s="287" t="s">
        <v>0</v>
      </c>
      <c r="B3" s="288"/>
      <c r="C3" s="275"/>
      <c r="D3" s="269"/>
      <c r="E3" s="269"/>
      <c r="F3" s="269"/>
      <c r="G3" s="269"/>
      <c r="H3" s="256"/>
      <c r="I3" s="100"/>
      <c r="J3" s="100"/>
      <c r="K3" s="57"/>
      <c r="L3" s="39"/>
      <c r="M3" s="68"/>
      <c r="N3" s="70"/>
      <c r="O3" s="39"/>
      <c r="P3" s="39"/>
      <c r="Q3" s="50"/>
      <c r="R3" s="21"/>
      <c r="S3" s="21"/>
      <c r="T3" s="21"/>
      <c r="U3" s="21"/>
      <c r="V3" s="21"/>
      <c r="W3" s="21"/>
      <c r="X3" s="6"/>
      <c r="Y3" s="6"/>
      <c r="Z3" s="6"/>
      <c r="AA3" s="6"/>
      <c r="AB3" s="6"/>
    </row>
    <row r="4" spans="1:28" ht="15.75">
      <c r="A4" s="97" t="s">
        <v>5</v>
      </c>
      <c r="B4" s="98" t="s">
        <v>6</v>
      </c>
      <c r="C4" s="252"/>
      <c r="D4" s="270"/>
      <c r="E4" s="270"/>
      <c r="F4" s="270"/>
      <c r="G4" s="270"/>
      <c r="H4" s="271"/>
      <c r="I4" s="100"/>
      <c r="J4" s="100"/>
      <c r="K4" s="57"/>
      <c r="L4" s="39"/>
      <c r="M4" s="68"/>
      <c r="N4" s="70"/>
      <c r="O4" s="39"/>
      <c r="P4" s="39"/>
      <c r="Q4" s="50"/>
      <c r="R4" s="21"/>
      <c r="S4" s="71"/>
      <c r="T4" s="71"/>
      <c r="U4" s="71"/>
      <c r="V4" s="71"/>
      <c r="W4" s="21"/>
      <c r="X4" s="6"/>
      <c r="Y4" s="6"/>
      <c r="Z4" s="6"/>
      <c r="AA4" s="6"/>
      <c r="AB4" s="6"/>
    </row>
    <row r="5" spans="1:28" ht="15.75">
      <c r="A5" s="2" t="s">
        <v>215</v>
      </c>
      <c r="B5" s="2" t="s">
        <v>215</v>
      </c>
      <c r="C5" s="252"/>
      <c r="D5" s="270"/>
      <c r="E5" s="270"/>
      <c r="F5" s="270"/>
      <c r="G5" s="270"/>
      <c r="H5" s="271"/>
      <c r="I5" s="100"/>
      <c r="J5" s="100"/>
      <c r="K5" s="57"/>
      <c r="L5" s="39"/>
      <c r="M5" s="68"/>
      <c r="N5" s="77"/>
      <c r="O5" s="39"/>
      <c r="P5" s="39"/>
      <c r="Q5" s="50"/>
      <c r="R5" s="21"/>
      <c r="S5" s="33"/>
      <c r="T5" s="33"/>
      <c r="U5" s="33"/>
      <c r="V5" s="33"/>
      <c r="W5" s="21"/>
      <c r="X5" s="6"/>
      <c r="Y5" s="6"/>
      <c r="Z5" s="6"/>
      <c r="AA5" s="6"/>
      <c r="AB5" s="6"/>
    </row>
    <row r="6" spans="1:28" ht="31.5">
      <c r="A6" s="2" t="s">
        <v>57</v>
      </c>
      <c r="B6" s="2" t="s">
        <v>57</v>
      </c>
      <c r="C6" s="252"/>
      <c r="D6" s="270"/>
      <c r="E6" s="270"/>
      <c r="F6" s="270"/>
      <c r="G6" s="270"/>
      <c r="H6" s="271"/>
      <c r="I6" s="100"/>
      <c r="J6" s="100"/>
      <c r="K6" s="57"/>
      <c r="L6" s="39"/>
      <c r="M6" s="68"/>
      <c r="N6" s="70"/>
      <c r="O6" s="39"/>
      <c r="P6" s="39"/>
      <c r="Q6" s="50"/>
      <c r="R6" s="21"/>
      <c r="S6" s="39"/>
      <c r="T6" s="39"/>
      <c r="U6" s="39"/>
      <c r="V6" s="28"/>
      <c r="W6" s="21"/>
      <c r="X6" s="6"/>
      <c r="Y6" s="6"/>
      <c r="Z6" s="6"/>
      <c r="AA6" s="6"/>
      <c r="AB6" s="6"/>
    </row>
    <row r="7" spans="1:28" ht="15.75">
      <c r="A7" s="2" t="s">
        <v>58</v>
      </c>
      <c r="B7" s="2" t="s">
        <v>58</v>
      </c>
      <c r="C7" s="252"/>
      <c r="D7" s="270"/>
      <c r="E7" s="270"/>
      <c r="F7" s="270"/>
      <c r="G7" s="270"/>
      <c r="H7" s="271"/>
      <c r="I7" s="100"/>
      <c r="J7" s="100"/>
      <c r="K7" s="57"/>
      <c r="L7" s="39"/>
      <c r="M7" s="68"/>
      <c r="N7" s="70"/>
      <c r="O7" s="39"/>
      <c r="P7" s="39"/>
      <c r="Q7" s="50"/>
      <c r="R7" s="21"/>
      <c r="S7" s="39"/>
      <c r="T7" s="39"/>
      <c r="U7" s="39"/>
      <c r="V7" s="28"/>
      <c r="W7" s="21"/>
      <c r="X7" s="6"/>
      <c r="Y7" s="6"/>
      <c r="Z7" s="6"/>
      <c r="AA7" s="6"/>
      <c r="AB7" s="6"/>
    </row>
    <row r="8" spans="1:28" ht="15.75">
      <c r="A8" s="2"/>
      <c r="B8" s="2" t="s">
        <v>61</v>
      </c>
      <c r="C8" s="252"/>
      <c r="D8" s="270"/>
      <c r="E8" s="270"/>
      <c r="F8" s="270"/>
      <c r="G8" s="270"/>
      <c r="H8" s="271"/>
      <c r="I8" s="100"/>
      <c r="J8" s="100"/>
      <c r="K8" s="57"/>
      <c r="L8" s="39"/>
      <c r="M8" s="68"/>
      <c r="N8" s="70"/>
      <c r="O8" s="39"/>
      <c r="P8" s="39"/>
      <c r="Q8" s="50"/>
      <c r="R8" s="21"/>
      <c r="S8" s="68"/>
      <c r="T8" s="68"/>
      <c r="U8" s="68"/>
      <c r="V8" s="68"/>
      <c r="W8" s="68"/>
      <c r="X8" s="6"/>
      <c r="Y8" s="6"/>
      <c r="Z8" s="6"/>
      <c r="AA8" s="6"/>
      <c r="AB8" s="6"/>
    </row>
    <row r="9" spans="1:28" ht="15.75">
      <c r="A9" s="2"/>
      <c r="B9" s="2"/>
      <c r="C9" s="253"/>
      <c r="D9" s="264"/>
      <c r="E9" s="264"/>
      <c r="F9" s="264"/>
      <c r="G9" s="264"/>
      <c r="H9" s="257"/>
      <c r="I9" s="100"/>
      <c r="J9" s="100"/>
      <c r="K9" s="57"/>
      <c r="L9" s="39"/>
      <c r="M9" s="68"/>
      <c r="N9" s="70"/>
      <c r="O9" s="39"/>
      <c r="P9" s="39"/>
      <c r="Q9" s="50"/>
      <c r="R9" s="21"/>
      <c r="S9" s="39"/>
      <c r="T9" s="39"/>
      <c r="U9" s="39"/>
      <c r="V9" s="28"/>
      <c r="W9" s="21"/>
      <c r="X9" s="6"/>
      <c r="Y9" s="6"/>
      <c r="Z9" s="6"/>
      <c r="AA9" s="6"/>
      <c r="AB9" s="6"/>
    </row>
    <row r="10" spans="1:28" ht="15.75">
      <c r="A10" s="278"/>
      <c r="B10" s="240"/>
      <c r="C10" s="17" t="s">
        <v>78</v>
      </c>
      <c r="D10" s="18" t="s">
        <v>79</v>
      </c>
      <c r="E10" s="17" t="s">
        <v>80</v>
      </c>
      <c r="F10" s="17" t="s">
        <v>81</v>
      </c>
      <c r="G10" s="19" t="s">
        <v>82</v>
      </c>
      <c r="H10" s="17" t="s">
        <v>83</v>
      </c>
      <c r="I10" s="17" t="s">
        <v>84</v>
      </c>
      <c r="J10" s="17" t="s">
        <v>85</v>
      </c>
      <c r="K10" s="57"/>
      <c r="L10" s="272" t="s">
        <v>129</v>
      </c>
      <c r="M10" s="239"/>
      <c r="N10" s="239"/>
      <c r="O10" s="239"/>
      <c r="P10" s="239"/>
      <c r="Q10" s="239"/>
      <c r="R10" s="240"/>
      <c r="S10" s="73">
        <f t="shared" ref="S10:W10" si="0">SUM(S3:S9)</f>
        <v>0</v>
      </c>
      <c r="T10" s="73">
        <f t="shared" si="0"/>
        <v>0</v>
      </c>
      <c r="U10" s="73">
        <f t="shared" si="0"/>
        <v>0</v>
      </c>
      <c r="V10" s="73">
        <f t="shared" si="0"/>
        <v>0</v>
      </c>
      <c r="W10" s="73">
        <f t="shared" si="0"/>
        <v>0</v>
      </c>
      <c r="X10" s="6"/>
      <c r="Y10" s="6"/>
      <c r="Z10" s="6"/>
      <c r="AA10" s="6"/>
      <c r="AB10" s="6"/>
    </row>
    <row r="11" spans="1:28" ht="15.75">
      <c r="A11" s="26"/>
      <c r="B11" s="26" t="s">
        <v>215</v>
      </c>
      <c r="C11" s="21">
        <v>1</v>
      </c>
      <c r="D11" s="39">
        <v>2367</v>
      </c>
      <c r="E11" s="25">
        <f t="shared" ref="E11:E17" si="1">C11*D11</f>
        <v>2367</v>
      </c>
      <c r="F11" s="25">
        <f t="shared" ref="F11:F17" si="2">(E11+(E11*3%))</f>
        <v>2438.0100000000002</v>
      </c>
      <c r="G11" s="33">
        <f>F11</f>
        <v>2438.0100000000002</v>
      </c>
      <c r="H11" s="39" t="s">
        <v>95</v>
      </c>
      <c r="I11" s="123">
        <v>2200</v>
      </c>
      <c r="J11" s="123">
        <f>G11*I11</f>
        <v>5363622.0000000009</v>
      </c>
      <c r="K11" s="57"/>
      <c r="L11" s="272" t="s">
        <v>130</v>
      </c>
      <c r="M11" s="239"/>
      <c r="N11" s="239"/>
      <c r="O11" s="239"/>
      <c r="P11" s="239"/>
      <c r="Q11" s="239"/>
      <c r="R11" s="240"/>
      <c r="S11" s="74">
        <v>330</v>
      </c>
      <c r="T11" s="74">
        <v>8</v>
      </c>
      <c r="U11" s="74">
        <v>11</v>
      </c>
      <c r="V11" s="74">
        <v>50</v>
      </c>
      <c r="W11" s="21">
        <v>4</v>
      </c>
      <c r="X11" s="6"/>
      <c r="Y11" s="6"/>
      <c r="Z11" s="6"/>
      <c r="AA11" s="6"/>
      <c r="AB11" s="6"/>
    </row>
    <row r="12" spans="1:28" ht="15.75">
      <c r="A12" s="26"/>
      <c r="B12" s="26" t="s">
        <v>177</v>
      </c>
      <c r="C12" s="21">
        <v>1</v>
      </c>
      <c r="D12" s="39">
        <v>2367</v>
      </c>
      <c r="E12" s="25">
        <f t="shared" si="1"/>
        <v>2367</v>
      </c>
      <c r="F12" s="25">
        <f t="shared" si="2"/>
        <v>2438.0100000000002</v>
      </c>
      <c r="G12" s="33">
        <f>+F12</f>
        <v>2438.0100000000002</v>
      </c>
      <c r="H12" s="39" t="s">
        <v>94</v>
      </c>
      <c r="I12" s="123">
        <v>2300</v>
      </c>
      <c r="J12" s="123">
        <f t="shared" ref="J12:J15" si="3">G12*I12</f>
        <v>5607423.0000000009</v>
      </c>
      <c r="K12" s="57"/>
      <c r="L12" s="272" t="s">
        <v>131</v>
      </c>
      <c r="M12" s="239"/>
      <c r="N12" s="239"/>
      <c r="O12" s="239"/>
      <c r="P12" s="239"/>
      <c r="Q12" s="239"/>
      <c r="R12" s="240"/>
      <c r="S12" s="75">
        <f t="shared" ref="S12:W12" si="4">(S10/S11)*100</f>
        <v>0</v>
      </c>
      <c r="T12" s="75">
        <f t="shared" si="4"/>
        <v>0</v>
      </c>
      <c r="U12" s="75">
        <f t="shared" si="4"/>
        <v>0</v>
      </c>
      <c r="V12" s="75">
        <f t="shared" si="4"/>
        <v>0</v>
      </c>
      <c r="W12" s="75">
        <f t="shared" si="4"/>
        <v>0</v>
      </c>
      <c r="X12" s="6"/>
      <c r="Y12" s="6"/>
      <c r="Z12" s="6"/>
      <c r="AA12" s="6"/>
      <c r="AB12" s="6"/>
    </row>
    <row r="13" spans="1:28" ht="15.75">
      <c r="A13" s="26"/>
      <c r="B13" s="26" t="s">
        <v>58</v>
      </c>
      <c r="C13" s="21">
        <v>30</v>
      </c>
      <c r="D13" s="39">
        <v>2367</v>
      </c>
      <c r="E13" s="25">
        <f t="shared" si="1"/>
        <v>71010</v>
      </c>
      <c r="F13" s="25">
        <f t="shared" si="2"/>
        <v>73140.3</v>
      </c>
      <c r="G13" s="33">
        <f>+F13/1000</f>
        <v>73.140299999999996</v>
      </c>
      <c r="H13" s="39" t="s">
        <v>86</v>
      </c>
      <c r="I13" s="123">
        <v>42000</v>
      </c>
      <c r="J13" s="123">
        <f t="shared" si="3"/>
        <v>3071892.5999999996</v>
      </c>
      <c r="K13" s="59"/>
      <c r="L13" s="76"/>
      <c r="M13" s="76"/>
      <c r="N13" s="76"/>
      <c r="O13" s="76"/>
      <c r="P13" s="76"/>
      <c r="Q13" s="76"/>
      <c r="R13" s="76"/>
      <c r="S13" s="76"/>
      <c r="T13" s="77"/>
      <c r="U13" s="77"/>
      <c r="V13" s="57"/>
      <c r="W13" s="57"/>
      <c r="X13" s="6"/>
      <c r="Y13" s="6"/>
      <c r="Z13" s="6"/>
      <c r="AA13" s="6"/>
      <c r="AB13" s="6"/>
    </row>
    <row r="14" spans="1:28" ht="15.75">
      <c r="A14" s="26"/>
      <c r="B14" s="26" t="s">
        <v>209</v>
      </c>
      <c r="C14" s="21">
        <v>40</v>
      </c>
      <c r="D14" s="39">
        <v>2367</v>
      </c>
      <c r="E14" s="25">
        <f t="shared" si="1"/>
        <v>94680</v>
      </c>
      <c r="F14" s="25">
        <f t="shared" si="2"/>
        <v>97520.4</v>
      </c>
      <c r="G14" s="99">
        <f>F14/1000</f>
        <v>97.520399999999995</v>
      </c>
      <c r="H14" s="39" t="s">
        <v>156</v>
      </c>
      <c r="I14" s="123">
        <v>50000</v>
      </c>
      <c r="J14" s="123">
        <f t="shared" si="3"/>
        <v>4876020</v>
      </c>
      <c r="K14" s="59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6"/>
      <c r="Y14" s="6"/>
      <c r="Z14" s="6"/>
      <c r="AA14" s="6"/>
      <c r="AB14" s="6"/>
    </row>
    <row r="15" spans="1:28" ht="15.75">
      <c r="A15" s="26"/>
      <c r="B15" s="26" t="s">
        <v>61</v>
      </c>
      <c r="C15" s="21">
        <v>35</v>
      </c>
      <c r="D15" s="39">
        <v>1324</v>
      </c>
      <c r="E15" s="25">
        <f t="shared" si="1"/>
        <v>46340</v>
      </c>
      <c r="F15" s="25">
        <f t="shared" si="2"/>
        <v>47730.2</v>
      </c>
      <c r="G15" s="33">
        <f>F15/1000</f>
        <v>47.730199999999996</v>
      </c>
      <c r="H15" s="39" t="s">
        <v>86</v>
      </c>
      <c r="I15" s="123">
        <v>40000</v>
      </c>
      <c r="J15" s="123">
        <f t="shared" si="3"/>
        <v>1909207.9999999998</v>
      </c>
      <c r="K15" s="59"/>
      <c r="L15" s="284" t="s">
        <v>132</v>
      </c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6"/>
      <c r="X15" s="6"/>
      <c r="Y15" s="6"/>
      <c r="Z15" s="6"/>
      <c r="AA15" s="6"/>
      <c r="AB15" s="6"/>
    </row>
    <row r="16" spans="1:28" ht="15.75">
      <c r="A16" s="26"/>
      <c r="B16" s="26" t="s">
        <v>178</v>
      </c>
      <c r="C16" s="21">
        <v>1</v>
      </c>
      <c r="D16" s="39">
        <v>1324</v>
      </c>
      <c r="E16" s="25">
        <f t="shared" si="1"/>
        <v>1324</v>
      </c>
      <c r="F16" s="25">
        <f t="shared" si="2"/>
        <v>1363.72</v>
      </c>
      <c r="G16" s="33">
        <f t="shared" ref="G16:G17" si="5">F16</f>
        <v>1363.72</v>
      </c>
      <c r="H16" s="39" t="s">
        <v>95</v>
      </c>
      <c r="I16" s="123"/>
      <c r="J16" s="123">
        <f>SUM(J11:J15)</f>
        <v>20828165.600000001</v>
      </c>
      <c r="K16" s="59"/>
      <c r="L16" s="63" t="s">
        <v>118</v>
      </c>
      <c r="M16" s="64" t="s">
        <v>119</v>
      </c>
      <c r="N16" s="63" t="s">
        <v>120</v>
      </c>
      <c r="O16" s="63" t="s">
        <v>121</v>
      </c>
      <c r="P16" s="67" t="s">
        <v>122</v>
      </c>
      <c r="Q16" s="67" t="s">
        <v>123</v>
      </c>
      <c r="R16" s="67" t="s">
        <v>124</v>
      </c>
      <c r="S16" s="63" t="s">
        <v>125</v>
      </c>
      <c r="T16" s="63" t="s">
        <v>126</v>
      </c>
      <c r="U16" s="63" t="s">
        <v>127</v>
      </c>
      <c r="V16" s="63" t="s">
        <v>77</v>
      </c>
      <c r="W16" s="63" t="s">
        <v>128</v>
      </c>
      <c r="X16" s="6"/>
      <c r="Y16" s="6"/>
      <c r="Z16" s="6"/>
      <c r="AA16" s="6"/>
      <c r="AB16" s="6"/>
    </row>
    <row r="17" spans="1:28" ht="15.75">
      <c r="A17" s="26"/>
      <c r="B17" s="26" t="s">
        <v>179</v>
      </c>
      <c r="C17" s="21">
        <v>1</v>
      </c>
      <c r="D17" s="39">
        <v>2367</v>
      </c>
      <c r="E17" s="25">
        <f t="shared" si="1"/>
        <v>2367</v>
      </c>
      <c r="F17" s="25">
        <f t="shared" si="2"/>
        <v>2438.0100000000002</v>
      </c>
      <c r="G17" s="33">
        <f t="shared" si="5"/>
        <v>2438.0100000000002</v>
      </c>
      <c r="H17" s="39" t="s">
        <v>95</v>
      </c>
      <c r="I17" s="122"/>
      <c r="J17" s="122"/>
      <c r="K17" s="59"/>
      <c r="L17" s="39"/>
      <c r="M17" s="68"/>
      <c r="N17" s="21"/>
      <c r="O17" s="39"/>
      <c r="P17" s="39"/>
      <c r="Q17" s="50"/>
      <c r="R17" s="21"/>
      <c r="S17" s="21"/>
      <c r="T17" s="21"/>
      <c r="U17" s="21"/>
      <c r="V17" s="21"/>
      <c r="W17" s="21"/>
      <c r="X17" s="6"/>
      <c r="Y17" s="6"/>
      <c r="Z17" s="6"/>
      <c r="AA17" s="6"/>
      <c r="AB17" s="6"/>
    </row>
    <row r="18" spans="1:28" ht="15.75">
      <c r="A18" s="6"/>
      <c r="B18" s="6"/>
      <c r="C18" s="6"/>
      <c r="D18" s="6"/>
      <c r="E18" s="6"/>
      <c r="F18" s="6"/>
      <c r="G18" s="6"/>
      <c r="H18" s="6"/>
      <c r="I18" s="6"/>
      <c r="J18" s="6"/>
      <c r="K18" s="59"/>
      <c r="L18" s="39"/>
      <c r="M18" s="68"/>
      <c r="N18" s="21"/>
      <c r="O18" s="39"/>
      <c r="P18" s="39"/>
      <c r="Q18" s="50"/>
      <c r="R18" s="21"/>
      <c r="S18" s="71"/>
      <c r="T18" s="71"/>
      <c r="U18" s="71"/>
      <c r="V18" s="71"/>
      <c r="W18" s="21"/>
      <c r="X18" s="6"/>
      <c r="Y18" s="6"/>
      <c r="Z18" s="6"/>
      <c r="AA18" s="6"/>
      <c r="AB18" s="6"/>
    </row>
    <row r="19" spans="1:28" ht="15.75">
      <c r="A19" s="241" t="s">
        <v>63</v>
      </c>
      <c r="B19" s="240"/>
      <c r="C19" s="6"/>
      <c r="D19" s="6"/>
      <c r="E19" s="6"/>
      <c r="F19" s="6"/>
      <c r="G19" s="6"/>
      <c r="H19" s="6"/>
      <c r="I19" s="6"/>
      <c r="J19" s="6"/>
      <c r="K19" s="59"/>
      <c r="L19" s="39"/>
      <c r="M19" s="68"/>
      <c r="N19" s="21"/>
      <c r="O19" s="39"/>
      <c r="P19" s="39"/>
      <c r="Q19" s="50"/>
      <c r="R19" s="21"/>
      <c r="S19" s="33"/>
      <c r="T19" s="33"/>
      <c r="U19" s="33"/>
      <c r="V19" s="33"/>
      <c r="W19" s="21"/>
      <c r="X19" s="6"/>
      <c r="Y19" s="6"/>
      <c r="Z19" s="6"/>
      <c r="AA19" s="6"/>
      <c r="AB19" s="6"/>
    </row>
    <row r="20" spans="1:28" ht="15.75">
      <c r="A20" s="9" t="s">
        <v>64</v>
      </c>
      <c r="B20" s="9">
        <v>1043</v>
      </c>
      <c r="C20" s="6"/>
      <c r="D20" s="6"/>
      <c r="E20" s="6"/>
      <c r="F20" s="6"/>
      <c r="G20" s="6"/>
      <c r="H20" s="6"/>
      <c r="I20" s="6"/>
      <c r="J20" s="6"/>
      <c r="K20" s="59"/>
      <c r="L20" s="39"/>
      <c r="M20" s="68"/>
      <c r="N20" s="21"/>
      <c r="O20" s="39"/>
      <c r="P20" s="39"/>
      <c r="Q20" s="50"/>
      <c r="R20" s="21"/>
      <c r="S20" s="39"/>
      <c r="T20" s="39"/>
      <c r="U20" s="39"/>
      <c r="V20" s="28"/>
      <c r="W20" s="21"/>
      <c r="X20" s="6"/>
      <c r="Y20" s="6"/>
      <c r="Z20" s="6"/>
      <c r="AA20" s="6"/>
      <c r="AB20" s="6"/>
    </row>
    <row r="21" spans="1:28" ht="15.75" customHeight="1">
      <c r="A21" s="9" t="s">
        <v>67</v>
      </c>
      <c r="B21" s="9">
        <f>1070+253+1</f>
        <v>1324</v>
      </c>
      <c r="C21" s="6"/>
      <c r="D21" s="6"/>
      <c r="E21" s="6"/>
      <c r="F21" s="6"/>
      <c r="G21" s="6"/>
      <c r="H21" s="6"/>
      <c r="I21" s="6"/>
      <c r="J21" s="6"/>
      <c r="K21" s="59"/>
      <c r="L21" s="39"/>
      <c r="M21" s="68"/>
      <c r="N21" s="21"/>
      <c r="O21" s="39"/>
      <c r="P21" s="39"/>
      <c r="Q21" s="50"/>
      <c r="R21" s="21"/>
      <c r="S21" s="39"/>
      <c r="T21" s="39"/>
      <c r="U21" s="39"/>
      <c r="V21" s="28"/>
      <c r="W21" s="21"/>
      <c r="X21" s="6"/>
      <c r="Y21" s="6"/>
      <c r="Z21" s="6"/>
      <c r="AA21" s="6"/>
      <c r="AB21" s="6"/>
    </row>
    <row r="22" spans="1:28" ht="15.75" customHeight="1">
      <c r="A22" s="9" t="s">
        <v>65</v>
      </c>
      <c r="B22" s="9">
        <v>204</v>
      </c>
      <c r="C22" s="6"/>
      <c r="D22" s="6"/>
      <c r="E22" s="6"/>
      <c r="F22" s="6"/>
      <c r="G22" s="6"/>
      <c r="H22" s="6"/>
      <c r="I22" s="6"/>
      <c r="J22" s="6"/>
      <c r="K22" s="59"/>
      <c r="L22" s="39"/>
      <c r="M22" s="68"/>
      <c r="N22" s="21"/>
      <c r="O22" s="39"/>
      <c r="P22" s="39"/>
      <c r="Q22" s="50"/>
      <c r="R22" s="21"/>
      <c r="S22" s="68"/>
      <c r="T22" s="68"/>
      <c r="U22" s="68"/>
      <c r="V22" s="68"/>
      <c r="W22" s="68"/>
      <c r="X22" s="6"/>
      <c r="Y22" s="6"/>
      <c r="Z22" s="6"/>
      <c r="AA22" s="6"/>
      <c r="AB22" s="6"/>
    </row>
    <row r="23" spans="1:28" ht="15.75" customHeight="1">
      <c r="A23" s="9" t="s">
        <v>66</v>
      </c>
      <c r="B23" s="9">
        <f>297+16+1</f>
        <v>314</v>
      </c>
      <c r="C23" s="6"/>
      <c r="D23" s="6"/>
      <c r="E23" s="6"/>
      <c r="F23" s="6"/>
      <c r="G23" s="6"/>
      <c r="H23" s="6"/>
      <c r="I23" s="6"/>
      <c r="J23" s="6"/>
      <c r="K23" s="59"/>
      <c r="L23" s="39"/>
      <c r="M23" s="68"/>
      <c r="N23" s="21"/>
      <c r="O23" s="39"/>
      <c r="P23" s="39"/>
      <c r="Q23" s="50"/>
      <c r="R23" s="21"/>
      <c r="S23" s="39"/>
      <c r="T23" s="39"/>
      <c r="U23" s="39"/>
      <c r="V23" s="28"/>
      <c r="W23" s="21"/>
      <c r="X23" s="6"/>
      <c r="Y23" s="6"/>
      <c r="Z23" s="6"/>
      <c r="AA23" s="6"/>
      <c r="AB23" s="6"/>
    </row>
    <row r="24" spans="1:28" ht="15.75" customHeight="1">
      <c r="A24" s="9" t="s">
        <v>70</v>
      </c>
      <c r="B24" s="9">
        <f>B23+B22</f>
        <v>518</v>
      </c>
      <c r="C24" s="6"/>
      <c r="D24" s="6"/>
      <c r="E24" s="6"/>
      <c r="F24" s="6"/>
      <c r="G24" s="6"/>
      <c r="H24" s="6"/>
      <c r="I24" s="6"/>
      <c r="J24" s="6"/>
      <c r="K24" s="59"/>
      <c r="L24" s="272" t="s">
        <v>129</v>
      </c>
      <c r="M24" s="239"/>
      <c r="N24" s="239"/>
      <c r="O24" s="239"/>
      <c r="P24" s="239"/>
      <c r="Q24" s="239"/>
      <c r="R24" s="240"/>
      <c r="S24" s="73">
        <f t="shared" ref="S24:W24" si="6">SUM(S17:S23)</f>
        <v>0</v>
      </c>
      <c r="T24" s="73">
        <f t="shared" si="6"/>
        <v>0</v>
      </c>
      <c r="U24" s="73">
        <f t="shared" si="6"/>
        <v>0</v>
      </c>
      <c r="V24" s="73">
        <f t="shared" si="6"/>
        <v>0</v>
      </c>
      <c r="W24" s="73">
        <f t="shared" si="6"/>
        <v>0</v>
      </c>
      <c r="X24" s="6"/>
      <c r="Y24" s="6"/>
      <c r="Z24" s="6"/>
      <c r="AA24" s="6"/>
      <c r="AB24" s="6"/>
    </row>
    <row r="25" spans="1:28" ht="15.75" customHeight="1">
      <c r="A25" s="9" t="s">
        <v>71</v>
      </c>
      <c r="B25" s="9">
        <f>B22+B20</f>
        <v>1247</v>
      </c>
      <c r="C25" s="6"/>
      <c r="D25" s="6"/>
      <c r="E25" s="6"/>
      <c r="F25" s="6"/>
      <c r="G25" s="6"/>
      <c r="H25" s="6"/>
      <c r="I25" s="6"/>
      <c r="J25" s="6"/>
      <c r="K25" s="59"/>
      <c r="L25" s="272" t="s">
        <v>133</v>
      </c>
      <c r="M25" s="239"/>
      <c r="N25" s="239"/>
      <c r="O25" s="239"/>
      <c r="P25" s="239"/>
      <c r="Q25" s="239"/>
      <c r="R25" s="240"/>
      <c r="S25" s="74">
        <v>668</v>
      </c>
      <c r="T25" s="74">
        <v>20.3</v>
      </c>
      <c r="U25" s="74">
        <v>22.5</v>
      </c>
      <c r="V25" s="74">
        <v>97.5</v>
      </c>
      <c r="W25" s="21">
        <v>10</v>
      </c>
      <c r="X25" s="6"/>
      <c r="Y25" s="6"/>
      <c r="Z25" s="6"/>
      <c r="AA25" s="6"/>
      <c r="AB25" s="6"/>
    </row>
    <row r="26" spans="1:28" ht="15.75" customHeight="1">
      <c r="A26" s="9" t="s">
        <v>72</v>
      </c>
      <c r="B26" s="9">
        <f>B21+B23</f>
        <v>1638</v>
      </c>
      <c r="C26" s="6"/>
      <c r="D26" s="6"/>
      <c r="E26" s="6"/>
      <c r="F26" s="6"/>
      <c r="G26" s="6"/>
      <c r="H26" s="6"/>
      <c r="I26" s="6"/>
      <c r="J26" s="6"/>
      <c r="K26" s="59"/>
      <c r="L26" s="272" t="s">
        <v>131</v>
      </c>
      <c r="M26" s="239"/>
      <c r="N26" s="239"/>
      <c r="O26" s="239"/>
      <c r="P26" s="239"/>
      <c r="Q26" s="239"/>
      <c r="R26" s="240"/>
      <c r="S26" s="75">
        <f t="shared" ref="S26:W26" si="7">(S24/S25)*100</f>
        <v>0</v>
      </c>
      <c r="T26" s="75">
        <f t="shared" si="7"/>
        <v>0</v>
      </c>
      <c r="U26" s="75">
        <f t="shared" si="7"/>
        <v>0</v>
      </c>
      <c r="V26" s="75">
        <f t="shared" si="7"/>
        <v>0</v>
      </c>
      <c r="W26" s="75">
        <f t="shared" si="7"/>
        <v>0</v>
      </c>
      <c r="X26" s="6"/>
      <c r="Y26" s="6"/>
      <c r="Z26" s="6"/>
      <c r="AA26" s="6"/>
      <c r="AB26" s="6"/>
    </row>
    <row r="27" spans="1:28" ht="15.75" customHeight="1">
      <c r="A27" s="11" t="s">
        <v>73</v>
      </c>
      <c r="B27" s="11">
        <f>SUM(B20:B23)</f>
        <v>2885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15">
    <mergeCell ref="L25:R25"/>
    <mergeCell ref="L26:R26"/>
    <mergeCell ref="A19:B19"/>
    <mergeCell ref="A1:B2"/>
    <mergeCell ref="C1:D2"/>
    <mergeCell ref="E1:H2"/>
    <mergeCell ref="L1:W1"/>
    <mergeCell ref="A3:B3"/>
    <mergeCell ref="C3:H9"/>
    <mergeCell ref="A10:B10"/>
    <mergeCell ref="L10:R10"/>
    <mergeCell ref="L11:R11"/>
    <mergeCell ref="L12:R12"/>
    <mergeCell ref="L15:W15"/>
    <mergeCell ref="L24:R24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zoomScale="62" workbookViewId="0">
      <selection activeCell="U24" sqref="U24"/>
    </sheetView>
  </sheetViews>
  <sheetFormatPr defaultColWidth="9.5703125" defaultRowHeight="15"/>
  <cols>
    <col min="1" max="1" width="15.28515625" bestFit="1" customWidth="1"/>
    <col min="2" max="2" width="20.85546875" bestFit="1" customWidth="1"/>
    <col min="3" max="3" width="15.5703125" bestFit="1" customWidth="1"/>
    <col min="4" max="4" width="17.5703125" bestFit="1" customWidth="1"/>
    <col min="5" max="5" width="25.28515625" customWidth="1"/>
    <col min="6" max="6" width="15.28515625" bestFit="1" customWidth="1"/>
    <col min="7" max="7" width="12.140625" bestFit="1" customWidth="1"/>
    <col min="8" max="8" width="18.42578125" customWidth="1"/>
    <col min="9" max="10" width="13.85546875" bestFit="1" customWidth="1"/>
  </cols>
  <sheetData>
    <row r="1" spans="1:8">
      <c r="A1" s="294" t="s">
        <v>185</v>
      </c>
      <c r="B1" s="295"/>
      <c r="C1" s="295"/>
      <c r="D1" s="295"/>
      <c r="E1" s="295"/>
      <c r="F1" s="295"/>
      <c r="G1" s="295"/>
      <c r="H1" s="295"/>
    </row>
    <row r="2" spans="1:8">
      <c r="A2" s="295"/>
      <c r="B2" s="295"/>
      <c r="C2" s="295"/>
      <c r="D2" s="295"/>
      <c r="E2" s="295"/>
      <c r="F2" s="295"/>
      <c r="G2" s="295"/>
      <c r="H2" s="295"/>
    </row>
    <row r="4" spans="1:8">
      <c r="D4" s="296" t="s">
        <v>186</v>
      </c>
      <c r="E4" s="297"/>
      <c r="F4" s="297"/>
      <c r="G4" s="297"/>
      <c r="H4" s="297"/>
    </row>
    <row r="5" spans="1:8">
      <c r="A5" s="124" t="s">
        <v>187</v>
      </c>
      <c r="B5" s="124" t="s">
        <v>188</v>
      </c>
      <c r="D5" s="125" t="s">
        <v>189</v>
      </c>
      <c r="E5" s="125" t="s">
        <v>190</v>
      </c>
      <c r="F5" s="126" t="s">
        <v>191</v>
      </c>
      <c r="G5" s="125" t="s">
        <v>192</v>
      </c>
      <c r="H5" s="125" t="s">
        <v>193</v>
      </c>
    </row>
    <row r="6" spans="1:8" ht="30">
      <c r="A6" s="127"/>
      <c r="B6" s="128">
        <f>'9 MARET'!J42</f>
        <v>20516166.833333332</v>
      </c>
      <c r="C6" s="110"/>
      <c r="D6" s="129">
        <v>1</v>
      </c>
      <c r="E6" s="130" t="s">
        <v>194</v>
      </c>
      <c r="F6" s="131">
        <f>C39</f>
        <v>7482</v>
      </c>
      <c r="G6" s="132">
        <v>8000</v>
      </c>
      <c r="H6" s="132">
        <f>F6*G6</f>
        <v>59856000</v>
      </c>
    </row>
    <row r="7" spans="1:8">
      <c r="A7" s="127"/>
      <c r="B7" s="128">
        <f>'10 MARET '!J27</f>
        <v>26533109</v>
      </c>
      <c r="C7" s="110"/>
      <c r="D7" s="129"/>
      <c r="E7" s="130"/>
      <c r="F7" s="131"/>
      <c r="G7" s="132"/>
      <c r="H7" s="132"/>
    </row>
    <row r="8" spans="1:8" ht="45">
      <c r="A8" s="127"/>
      <c r="B8" s="128">
        <f>'B3 10 MARET'!J47</f>
        <v>13304534.666666666</v>
      </c>
      <c r="C8" s="110"/>
      <c r="D8" s="129">
        <v>2</v>
      </c>
      <c r="E8" s="130" t="s">
        <v>195</v>
      </c>
      <c r="F8" s="131">
        <f>D39</f>
        <v>9828</v>
      </c>
      <c r="G8" s="132">
        <v>10000</v>
      </c>
      <c r="H8" s="132">
        <f>F8*G8</f>
        <v>98280000</v>
      </c>
    </row>
    <row r="9" spans="1:8">
      <c r="A9" s="127"/>
      <c r="B9" s="128">
        <f>'11 MARET'!J43</f>
        <v>20930952.575000003</v>
      </c>
      <c r="C9" s="110"/>
      <c r="D9" s="125"/>
      <c r="E9" s="133" t="s">
        <v>129</v>
      </c>
      <c r="F9" s="134">
        <f>SUM(F6:F8)</f>
        <v>17310</v>
      </c>
      <c r="G9" s="135"/>
      <c r="H9" s="136">
        <f>SUM(H6:H8)</f>
        <v>158136000</v>
      </c>
    </row>
    <row r="10" spans="1:8">
      <c r="A10" s="127"/>
      <c r="B10" s="128">
        <f>'12 MARET '!J25</f>
        <v>21384095</v>
      </c>
      <c r="C10" s="110"/>
    </row>
    <row r="11" spans="1:8">
      <c r="A11" s="127"/>
      <c r="B11" s="128">
        <f>'B3 12 MARET'!J36</f>
        <v>13608895.263333334</v>
      </c>
      <c r="C11" s="110">
        <f>SUM(B6:B11)</f>
        <v>116277753.33833332</v>
      </c>
      <c r="D11" s="296" t="s">
        <v>196</v>
      </c>
      <c r="E11" s="296"/>
      <c r="F11" s="296"/>
      <c r="G11" s="296"/>
      <c r="H11" s="296"/>
    </row>
    <row r="12" spans="1:8">
      <c r="A12" s="127"/>
      <c r="B12" s="128">
        <f>'13-14 MARET'!J40</f>
        <v>35508756.501666673</v>
      </c>
      <c r="C12" s="110"/>
      <c r="D12" s="125" t="s">
        <v>189</v>
      </c>
      <c r="E12" s="125" t="s">
        <v>190</v>
      </c>
      <c r="F12" s="126" t="s">
        <v>191</v>
      </c>
      <c r="G12" s="125" t="s">
        <v>192</v>
      </c>
      <c r="H12" s="125" t="s">
        <v>193</v>
      </c>
    </row>
    <row r="13" spans="1:8" ht="30">
      <c r="A13" s="127" t="s">
        <v>197</v>
      </c>
      <c r="B13" s="128">
        <f>'14 MARET'!J16</f>
        <v>20828165.600000001</v>
      </c>
      <c r="C13" s="110">
        <v>146638750</v>
      </c>
      <c r="D13" s="129">
        <v>1</v>
      </c>
      <c r="E13" s="130" t="s">
        <v>194</v>
      </c>
      <c r="F13" s="131">
        <f>C39</f>
        <v>7482</v>
      </c>
      <c r="G13" s="132"/>
      <c r="H13" s="132">
        <f>F13*G13</f>
        <v>0</v>
      </c>
    </row>
    <row r="14" spans="1:8">
      <c r="A14" s="127"/>
      <c r="B14" s="128"/>
      <c r="C14" s="110"/>
      <c r="D14" s="129"/>
      <c r="E14" s="130"/>
      <c r="F14" s="131"/>
      <c r="G14" s="132"/>
      <c r="H14" s="132"/>
    </row>
    <row r="15" spans="1:8" ht="45">
      <c r="A15" s="127"/>
      <c r="B15" s="128"/>
      <c r="C15" s="110">
        <f>C11+C13</f>
        <v>262916503.33833331</v>
      </c>
      <c r="D15" s="129">
        <v>2</v>
      </c>
      <c r="E15" s="130" t="s">
        <v>195</v>
      </c>
      <c r="F15" s="131">
        <f>D39</f>
        <v>9828</v>
      </c>
      <c r="G15" s="132"/>
      <c r="H15" s="132">
        <f>F15*G15</f>
        <v>0</v>
      </c>
    </row>
    <row r="16" spans="1:8">
      <c r="A16" s="127"/>
      <c r="B16" s="128"/>
      <c r="C16" s="110"/>
      <c r="D16" s="125"/>
      <c r="E16" s="133" t="s">
        <v>129</v>
      </c>
      <c r="F16" s="134">
        <f>SUM(F13:F15)</f>
        <v>17310</v>
      </c>
      <c r="G16" s="135"/>
      <c r="H16" s="136">
        <f>SUM(H13:H15)</f>
        <v>0</v>
      </c>
    </row>
    <row r="17" spans="1:10">
      <c r="A17" s="127"/>
      <c r="B17" s="128"/>
      <c r="C17" s="110"/>
      <c r="D17" s="137"/>
      <c r="E17" s="137"/>
      <c r="F17" s="138"/>
      <c r="G17" s="137"/>
      <c r="H17" s="139"/>
    </row>
    <row r="18" spans="1:10">
      <c r="A18" s="127"/>
      <c r="B18" s="128"/>
      <c r="C18" s="110"/>
      <c r="D18" s="137"/>
      <c r="E18" s="137"/>
      <c r="F18" s="138"/>
      <c r="G18" s="137"/>
      <c r="H18" s="139"/>
    </row>
    <row r="19" spans="1:10">
      <c r="A19" s="127"/>
      <c r="B19" s="128"/>
      <c r="C19" s="110"/>
      <c r="D19" s="137"/>
      <c r="E19" s="137"/>
      <c r="F19" s="138"/>
      <c r="G19" s="137"/>
      <c r="H19" s="139"/>
    </row>
    <row r="20" spans="1:10">
      <c r="A20" s="127"/>
      <c r="B20" s="128"/>
      <c r="C20" s="110"/>
      <c r="D20" s="137"/>
      <c r="E20" s="137"/>
      <c r="F20" s="138"/>
      <c r="G20" s="137"/>
      <c r="H20" s="139"/>
    </row>
    <row r="21" spans="1:10">
      <c r="A21" s="127"/>
      <c r="B21" s="128"/>
      <c r="C21" s="110"/>
      <c r="D21" s="137"/>
      <c r="E21" s="137"/>
      <c r="F21" s="138"/>
      <c r="G21" s="137"/>
      <c r="H21" s="139"/>
    </row>
    <row r="22" spans="1:10">
      <c r="A22" s="127"/>
      <c r="B22" s="128"/>
      <c r="C22" s="110"/>
      <c r="D22" s="137"/>
      <c r="E22" s="137"/>
      <c r="F22" s="138"/>
      <c r="G22" s="137"/>
      <c r="H22" s="139"/>
    </row>
    <row r="23" spans="1:10">
      <c r="A23" s="140" t="s">
        <v>129</v>
      </c>
      <c r="B23" s="141">
        <f>SUM(B6:B22)</f>
        <v>172614675.44</v>
      </c>
      <c r="C23" s="142">
        <f>H9-B23</f>
        <v>-14478675.439999998</v>
      </c>
    </row>
    <row r="25" spans="1:10">
      <c r="A25" s="298" t="s">
        <v>198</v>
      </c>
      <c r="B25" s="298"/>
      <c r="C25" s="298"/>
      <c r="D25" s="298"/>
      <c r="E25" s="298"/>
      <c r="G25" s="143"/>
      <c r="H25" s="144"/>
      <c r="I25" s="144"/>
      <c r="J25" s="144"/>
    </row>
    <row r="26" spans="1:10">
      <c r="A26" s="145" t="s">
        <v>199</v>
      </c>
      <c r="B26" s="145" t="s">
        <v>187</v>
      </c>
      <c r="C26" s="145" t="s">
        <v>200</v>
      </c>
      <c r="D26" s="145" t="s">
        <v>201</v>
      </c>
      <c r="E26" s="145" t="s">
        <v>202</v>
      </c>
      <c r="G26" s="146"/>
      <c r="H26" s="147"/>
      <c r="I26" s="147"/>
      <c r="J26" s="147"/>
    </row>
    <row r="27" spans="1:10">
      <c r="A27" s="148" t="s">
        <v>203</v>
      </c>
      <c r="B27" s="127">
        <v>46090</v>
      </c>
      <c r="C27" s="131">
        <v>1247</v>
      </c>
      <c r="D27" s="131">
        <v>1638</v>
      </c>
      <c r="E27" s="148">
        <f>C27+D27</f>
        <v>2885</v>
      </c>
      <c r="G27" s="146"/>
      <c r="H27" s="147"/>
      <c r="I27" s="147"/>
      <c r="J27" s="147"/>
    </row>
    <row r="28" spans="1:10">
      <c r="A28" s="148" t="s">
        <v>204</v>
      </c>
      <c r="B28" s="127">
        <v>46091</v>
      </c>
      <c r="C28" s="131">
        <v>1247</v>
      </c>
      <c r="D28" s="131">
        <v>1638</v>
      </c>
      <c r="E28" s="148">
        <f t="shared" ref="E28:E38" si="0">C28+D28</f>
        <v>2885</v>
      </c>
      <c r="G28" s="146"/>
      <c r="H28" s="147"/>
      <c r="I28" s="147"/>
      <c r="J28" s="147"/>
    </row>
    <row r="29" spans="1:10">
      <c r="A29" s="148" t="s">
        <v>205</v>
      </c>
      <c r="B29" s="127">
        <v>46092</v>
      </c>
      <c r="C29" s="131">
        <v>1247</v>
      </c>
      <c r="D29" s="131">
        <v>1638</v>
      </c>
      <c r="E29" s="148">
        <f t="shared" si="0"/>
        <v>2885</v>
      </c>
      <c r="G29" s="149"/>
      <c r="H29" s="150"/>
      <c r="I29" s="150"/>
      <c r="J29" s="150"/>
    </row>
    <row r="30" spans="1:10">
      <c r="A30" s="148" t="s">
        <v>206</v>
      </c>
      <c r="B30" s="127">
        <v>46093</v>
      </c>
      <c r="C30" s="131">
        <v>1247</v>
      </c>
      <c r="D30" s="131">
        <v>1638</v>
      </c>
      <c r="E30" s="148">
        <f t="shared" si="0"/>
        <v>2885</v>
      </c>
    </row>
    <row r="31" spans="1:10">
      <c r="A31" s="148" t="s">
        <v>207</v>
      </c>
      <c r="B31" s="127">
        <v>46094</v>
      </c>
      <c r="C31" s="131">
        <v>1247</v>
      </c>
      <c r="D31" s="131">
        <v>1638</v>
      </c>
      <c r="E31" s="148">
        <f t="shared" si="0"/>
        <v>2885</v>
      </c>
    </row>
    <row r="32" spans="1:10">
      <c r="A32" s="148" t="s">
        <v>208</v>
      </c>
      <c r="B32" s="127">
        <v>46095</v>
      </c>
      <c r="C32" s="131">
        <v>1247</v>
      </c>
      <c r="D32" s="131">
        <v>1638</v>
      </c>
      <c r="E32" s="148">
        <f t="shared" si="0"/>
        <v>2885</v>
      </c>
      <c r="F32">
        <f>SUM(E27:E32)</f>
        <v>17310</v>
      </c>
    </row>
    <row r="33" spans="1:14">
      <c r="A33" s="148" t="s">
        <v>203</v>
      </c>
      <c r="B33" s="127"/>
      <c r="C33" s="131"/>
      <c r="D33" s="131"/>
      <c r="E33" s="148">
        <f t="shared" si="0"/>
        <v>0</v>
      </c>
    </row>
    <row r="34" spans="1:14">
      <c r="A34" s="148" t="s">
        <v>204</v>
      </c>
      <c r="B34" s="127"/>
      <c r="C34" s="131"/>
      <c r="D34" s="131"/>
      <c r="E34" s="148">
        <f t="shared" si="0"/>
        <v>0</v>
      </c>
    </row>
    <row r="35" spans="1:14">
      <c r="A35" s="148" t="s">
        <v>205</v>
      </c>
      <c r="B35" s="127"/>
      <c r="C35" s="131"/>
      <c r="D35" s="131"/>
      <c r="E35" s="148">
        <f t="shared" si="0"/>
        <v>0</v>
      </c>
    </row>
    <row r="36" spans="1:14">
      <c r="A36" s="148" t="s">
        <v>206</v>
      </c>
      <c r="B36" s="127"/>
      <c r="C36" s="131"/>
      <c r="D36" s="131"/>
      <c r="E36" s="148">
        <f t="shared" si="0"/>
        <v>0</v>
      </c>
    </row>
    <row r="37" spans="1:14">
      <c r="A37" s="148" t="s">
        <v>207</v>
      </c>
      <c r="B37" s="127"/>
      <c r="C37" s="131"/>
      <c r="D37" s="131"/>
      <c r="E37" s="148">
        <f t="shared" si="0"/>
        <v>0</v>
      </c>
    </row>
    <row r="38" spans="1:14">
      <c r="A38" s="148" t="s">
        <v>208</v>
      </c>
      <c r="B38" s="127"/>
      <c r="C38" s="131"/>
      <c r="D38" s="131"/>
      <c r="E38" s="148">
        <f t="shared" si="0"/>
        <v>0</v>
      </c>
    </row>
    <row r="39" spans="1:14">
      <c r="A39" s="148"/>
      <c r="B39" s="151"/>
      <c r="C39" s="152">
        <f>SUM(C27:C38)</f>
        <v>7482</v>
      </c>
      <c r="D39" s="152">
        <f>SUM(D27:D38)</f>
        <v>9828</v>
      </c>
      <c r="E39" s="148"/>
    </row>
    <row r="40" spans="1:14">
      <c r="A40" s="299" t="s">
        <v>129</v>
      </c>
      <c r="B40" s="299"/>
      <c r="C40" s="299"/>
      <c r="D40" s="299"/>
      <c r="E40" s="152">
        <f>SUM(E27:E38)</f>
        <v>17310</v>
      </c>
      <c r="F40" s="110">
        <f>E40*3000</f>
        <v>51930000</v>
      </c>
    </row>
    <row r="43" spans="1:14" s="154" customForma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</row>
    <row r="44" spans="1:14" s="154" customForma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</row>
    <row r="45" spans="1:14" s="154" customForma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</row>
    <row r="46" spans="1:14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</row>
    <row r="47" spans="1:14">
      <c r="A47" s="293"/>
      <c r="B47" s="292"/>
      <c r="C47" s="293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2"/>
    </row>
    <row r="48" spans="1:14">
      <c r="A48" s="293"/>
      <c r="B48" s="292"/>
      <c r="C48" s="293"/>
      <c r="D48" s="156"/>
      <c r="E48" s="155"/>
      <c r="F48" s="156"/>
      <c r="G48" s="155"/>
      <c r="H48" s="156"/>
      <c r="I48" s="155"/>
      <c r="J48" s="156"/>
      <c r="K48" s="155"/>
      <c r="L48" s="156"/>
      <c r="M48" s="155"/>
      <c r="N48" s="292"/>
    </row>
    <row r="49" spans="1:14">
      <c r="A49" s="290"/>
      <c r="B49" s="157"/>
      <c r="C49" s="290"/>
      <c r="D49" s="290"/>
      <c r="E49" s="289"/>
      <c r="F49" s="290"/>
      <c r="G49" s="289"/>
      <c r="H49" s="290"/>
      <c r="I49" s="289"/>
      <c r="J49" s="290"/>
      <c r="K49" s="289"/>
      <c r="L49" s="290"/>
      <c r="M49" s="289"/>
      <c r="N49" s="290"/>
    </row>
    <row r="50" spans="1:14">
      <c r="A50" s="290"/>
      <c r="B50" s="157"/>
      <c r="C50" s="290"/>
      <c r="D50" s="290"/>
      <c r="E50" s="289"/>
      <c r="F50" s="290"/>
      <c r="G50" s="289"/>
      <c r="H50" s="290"/>
      <c r="I50" s="289"/>
      <c r="J50" s="290"/>
      <c r="K50" s="289"/>
      <c r="L50" s="290"/>
      <c r="M50" s="289"/>
      <c r="N50" s="290"/>
    </row>
    <row r="51" spans="1:14">
      <c r="A51" s="157"/>
      <c r="B51" s="157"/>
      <c r="C51" s="157"/>
      <c r="D51" s="157"/>
      <c r="E51" s="153"/>
      <c r="F51" s="157"/>
      <c r="G51" s="153"/>
      <c r="H51" s="157"/>
      <c r="I51" s="153"/>
      <c r="J51" s="157"/>
      <c r="K51" s="153"/>
      <c r="L51" s="157"/>
      <c r="M51" s="153"/>
      <c r="N51" s="157"/>
    </row>
    <row r="52" spans="1:14">
      <c r="A52" s="157"/>
      <c r="B52" s="157"/>
      <c r="C52" s="157"/>
      <c r="D52" s="157"/>
      <c r="E52" s="153"/>
      <c r="F52" s="157"/>
      <c r="G52" s="153"/>
      <c r="H52" s="157"/>
      <c r="I52" s="153"/>
      <c r="J52" s="157"/>
      <c r="K52" s="153"/>
      <c r="L52" s="157"/>
      <c r="M52" s="153"/>
      <c r="N52" s="157"/>
    </row>
    <row r="53" spans="1:14">
      <c r="A53" s="157"/>
      <c r="B53" s="157"/>
      <c r="C53" s="157"/>
      <c r="D53" s="157"/>
      <c r="E53" s="153"/>
      <c r="F53" s="157"/>
      <c r="G53" s="153"/>
      <c r="H53" s="157"/>
      <c r="I53" s="153"/>
      <c r="J53" s="157"/>
      <c r="K53" s="153"/>
      <c r="L53" s="157"/>
      <c r="M53" s="153"/>
      <c r="N53" s="157"/>
    </row>
  </sheetData>
  <mergeCells count="28">
    <mergeCell ref="H47:I47"/>
    <mergeCell ref="A1:H2"/>
    <mergeCell ref="D4:H4"/>
    <mergeCell ref="D11:H11"/>
    <mergeCell ref="A25:E25"/>
    <mergeCell ref="A40:D40"/>
    <mergeCell ref="A46:N46"/>
    <mergeCell ref="N49:N50"/>
    <mergeCell ref="J47:K47"/>
    <mergeCell ref="L47:M47"/>
    <mergeCell ref="N47:N48"/>
    <mergeCell ref="A49:A50"/>
    <mergeCell ref="C49:C50"/>
    <mergeCell ref="D49:D50"/>
    <mergeCell ref="E49:E50"/>
    <mergeCell ref="F49:F50"/>
    <mergeCell ref="G49:G50"/>
    <mergeCell ref="H49:H50"/>
    <mergeCell ref="A47:A48"/>
    <mergeCell ref="B47:B48"/>
    <mergeCell ref="C47:C48"/>
    <mergeCell ref="D47:E47"/>
    <mergeCell ref="F47:G47"/>
    <mergeCell ref="I49:I50"/>
    <mergeCell ref="J49:J50"/>
    <mergeCell ref="K49:K50"/>
    <mergeCell ref="L49:L50"/>
    <mergeCell ref="M49:M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 RAPEL 3 HARI</vt:lpstr>
      <vt:lpstr>9 MARET</vt:lpstr>
      <vt:lpstr>10 MARET </vt:lpstr>
      <vt:lpstr>B3 10 MARET</vt:lpstr>
      <vt:lpstr>11 MARET</vt:lpstr>
      <vt:lpstr>12 MARET </vt:lpstr>
      <vt:lpstr>B3 12 MARET</vt:lpstr>
      <vt:lpstr>13-14 MARET</vt:lpstr>
      <vt:lpstr>14 MARET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Putri Rachman</cp:lastModifiedBy>
  <dcterms:modified xsi:type="dcterms:W3CDTF">2026-03-12T21:53:44Z</dcterms:modified>
</cp:coreProperties>
</file>